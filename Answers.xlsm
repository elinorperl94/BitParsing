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linor Perl\Desktop\HUJI\Job Search\MobileEye\"/>
    </mc:Choice>
  </mc:AlternateContent>
  <bookViews>
    <workbookView xWindow="0" yWindow="0" windowWidth="19200" windowHeight="7310" activeTab="1"/>
  </bookViews>
  <sheets>
    <sheet name="Test Data - Answers" sheetId="1" r:id="rId1"/>
    <sheet name="Series - Answers" sheetId="2" r:id="rId2"/>
  </sheets>
  <definedNames>
    <definedName name="_xlnm._FilterDatabase" localSheetId="0" hidden="1">'Test Data - Answers'!$A$1:$F$2240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4" i="1" l="1"/>
  <c r="K44" i="1"/>
  <c r="J44" i="1"/>
  <c r="I44" i="1"/>
  <c r="M43" i="1"/>
  <c r="L43" i="1"/>
  <c r="K43" i="1"/>
  <c r="J43" i="1"/>
  <c r="I43" i="1"/>
  <c r="L41" i="1"/>
  <c r="K41" i="1"/>
  <c r="J41" i="1"/>
  <c r="I41" i="1"/>
  <c r="M40" i="1"/>
  <c r="L40" i="1"/>
  <c r="K40" i="1"/>
  <c r="J40" i="1"/>
  <c r="I40" i="1"/>
  <c r="L38" i="1"/>
  <c r="K38" i="1"/>
  <c r="J38" i="1"/>
  <c r="I38" i="1"/>
  <c r="M37" i="1"/>
  <c r="L37" i="1"/>
  <c r="K37" i="1"/>
  <c r="J37" i="1"/>
  <c r="I37" i="1"/>
  <c r="I31" i="1"/>
  <c r="M31" i="1" s="1"/>
  <c r="L31" i="1"/>
  <c r="K31" i="1"/>
  <c r="J31" i="1"/>
  <c r="L29" i="1"/>
  <c r="K29" i="1"/>
  <c r="J29" i="1"/>
  <c r="I29" i="1"/>
  <c r="M28" i="1"/>
  <c r="L28" i="1"/>
  <c r="K28" i="1"/>
  <c r="J28" i="1"/>
  <c r="I28" i="1"/>
  <c r="L26" i="1"/>
  <c r="K26" i="1"/>
  <c r="J26" i="1"/>
  <c r="I26" i="1"/>
  <c r="M25" i="1"/>
  <c r="L25" i="1"/>
  <c r="K25" i="1"/>
  <c r="J25" i="1"/>
  <c r="I25" i="1"/>
  <c r="L23" i="1"/>
  <c r="K23" i="1"/>
  <c r="J23" i="1"/>
  <c r="I23" i="1"/>
  <c r="M22" i="1"/>
  <c r="L22" i="1"/>
  <c r="K22" i="1"/>
  <c r="J22" i="1"/>
  <c r="I22" i="1"/>
  <c r="L20" i="1"/>
  <c r="K20" i="1"/>
  <c r="J20" i="1"/>
  <c r="I20" i="1"/>
  <c r="M19" i="1"/>
  <c r="L19" i="1"/>
  <c r="K19" i="1"/>
  <c r="J19" i="1"/>
  <c r="I19" i="1"/>
  <c r="L17" i="1"/>
  <c r="K17" i="1"/>
  <c r="J17" i="1"/>
  <c r="I17" i="1"/>
  <c r="M16" i="1"/>
  <c r="L16" i="1"/>
  <c r="K16" i="1"/>
  <c r="J16" i="1"/>
  <c r="I16" i="1"/>
  <c r="L32" i="1" l="1"/>
  <c r="K32" i="1"/>
  <c r="J32" i="1"/>
  <c r="I32" i="1"/>
  <c r="L11" i="1"/>
  <c r="K11" i="1"/>
  <c r="J11" i="1"/>
  <c r="I11" i="1"/>
  <c r="M10" i="1"/>
  <c r="L10" i="1"/>
  <c r="K10" i="1"/>
  <c r="J10" i="1"/>
  <c r="I10" i="1"/>
  <c r="I7" i="1"/>
  <c r="L7" i="1"/>
  <c r="K7" i="1"/>
  <c r="J7" i="1"/>
  <c r="L5" i="1"/>
  <c r="L4" i="1"/>
  <c r="K4" i="1"/>
  <c r="J4" i="1"/>
  <c r="I4" i="1"/>
  <c r="M7" i="1" l="1"/>
  <c r="M4" i="1"/>
  <c r="M3" i="2"/>
  <c r="L3" i="2"/>
  <c r="K3" i="2"/>
  <c r="M4" i="2"/>
  <c r="L4" i="2"/>
  <c r="K4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2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I8" i="1" l="1"/>
  <c r="K8" i="1"/>
  <c r="J8" i="1"/>
  <c r="L8" i="1"/>
  <c r="K5" i="1"/>
  <c r="I5" i="1"/>
  <c r="J5" i="1"/>
</calcChain>
</file>

<file path=xl/sharedStrings.xml><?xml version="1.0" encoding="utf-8"?>
<sst xmlns="http://schemas.openxmlformats.org/spreadsheetml/2006/main" count="11304" uniqueCount="53">
  <si>
    <t>ID</t>
  </si>
  <si>
    <t>Country</t>
  </si>
  <si>
    <t>Illumination</t>
  </si>
  <si>
    <t>road_type</t>
  </si>
  <si>
    <t>severity</t>
  </si>
  <si>
    <t>Driver_name</t>
  </si>
  <si>
    <t>France</t>
  </si>
  <si>
    <t>Day</t>
  </si>
  <si>
    <t>Urban</t>
  </si>
  <si>
    <t>Medium</t>
  </si>
  <si>
    <t>Ringo</t>
  </si>
  <si>
    <t>US</t>
  </si>
  <si>
    <t>Night</t>
  </si>
  <si>
    <t>Paul</t>
  </si>
  <si>
    <t>Germany</t>
  </si>
  <si>
    <t>Minor</t>
  </si>
  <si>
    <t>UK</t>
  </si>
  <si>
    <t>Major</t>
  </si>
  <si>
    <t>Italy</t>
  </si>
  <si>
    <t>critical</t>
  </si>
  <si>
    <t>George</t>
  </si>
  <si>
    <t>major</t>
  </si>
  <si>
    <t>Highway</t>
  </si>
  <si>
    <t>John</t>
  </si>
  <si>
    <t>Dusk</t>
  </si>
  <si>
    <t>Sweden</t>
  </si>
  <si>
    <t>Critical</t>
  </si>
  <si>
    <t>Series1</t>
  </si>
  <si>
    <t>Series2</t>
  </si>
  <si>
    <t>Series3</t>
  </si>
  <si>
    <t>real_measure</t>
  </si>
  <si>
    <t>series1 squared</t>
  </si>
  <si>
    <t>series2 squared</t>
  </si>
  <si>
    <t>series3 squared</t>
  </si>
  <si>
    <t>Standard Deviation</t>
  </si>
  <si>
    <t>RMS</t>
  </si>
  <si>
    <t>BIN</t>
  </si>
  <si>
    <t>Mean</t>
  </si>
  <si>
    <t>Standard Error</t>
  </si>
  <si>
    <t>Median</t>
  </si>
  <si>
    <t>Mode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</si>
  <si>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</si>
  <si>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</si>
  <si>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</si>
  <si>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</si>
  <si>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</si>
  <si>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</si>
  <si>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</si>
  <si>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</si>
  <si>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Bin</t>
  </si>
  <si>
    <t>More</t>
  </si>
  <si>
    <t>Frequency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</si>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</sst>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i/>
      <sz val="11"/>
      <color theme="1"/>
      <name val="Arial"/>
      <family val="2"/>
      <charset val="177"/>
      <scheme val="minor"/>
    </font>
    <font>
      <u/>
      <sz val="11"/>
      <color theme="1"/>
      <name val="Arial"/>
      <family val="2"/>
      <charset val="177"/>
      <scheme val="minor"/>
    </font>
    <font>
      <u/>
      <sz val="11"/>
      <color theme="1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2" fillId="2" borderId="4" xfId="0" applyFont="1" applyFill="1" applyBorder="1" applyAlignment="1">
      <alignment horizontal="centerContinuous"/>
    </xf>
    <xf numFmtId="0" fontId="0" fillId="2" borderId="0" xfId="0" applyFill="1"/>
    <xf numFmtId="0" fontId="0" fillId="2" borderId="0" xfId="0" applyFill="1" applyBorder="1" applyAlignment="1"/>
    <xf numFmtId="0" fontId="2" fillId="2" borderId="4" xfId="0" applyFont="1" applyFill="1" applyBorder="1" applyAlignment="1">
      <alignment horizontal="center"/>
    </xf>
    <xf numFmtId="0" fontId="0" fillId="2" borderId="0" xfId="0" applyNumberFormat="1" applyFill="1" applyBorder="1" applyAlignment="1"/>
    <xf numFmtId="0" fontId="0" fillId="2" borderId="3" xfId="0" applyFill="1" applyBorder="1" applyAlignment="1"/>
    <xf numFmtId="0" fontId="2" fillId="3" borderId="4" xfId="0" applyFont="1" applyFill="1" applyBorder="1" applyAlignment="1">
      <alignment horizontal="centerContinuous"/>
    </xf>
    <xf numFmtId="0" fontId="0" fillId="3" borderId="0" xfId="0" applyFill="1"/>
    <xf numFmtId="0" fontId="0" fillId="3" borderId="0" xfId="0" applyFill="1" applyBorder="1" applyAlignment="1"/>
    <xf numFmtId="0" fontId="2" fillId="3" borderId="4" xfId="0" applyFont="1" applyFill="1" applyBorder="1" applyAlignment="1">
      <alignment horizontal="center"/>
    </xf>
    <xf numFmtId="0" fontId="0" fillId="3" borderId="0" xfId="0" applyNumberFormat="1" applyFill="1" applyBorder="1" applyAlignment="1"/>
    <xf numFmtId="0" fontId="0" fillId="3" borderId="3" xfId="0" applyFill="1" applyBorder="1" applyAlignment="1"/>
    <xf numFmtId="0" fontId="2" fillId="4" borderId="4" xfId="0" applyFont="1" applyFill="1" applyBorder="1" applyAlignment="1">
      <alignment horizontal="centerContinuous"/>
    </xf>
    <xf numFmtId="0" fontId="0" fillId="4" borderId="0" xfId="0" applyFill="1"/>
    <xf numFmtId="0" fontId="0" fillId="4" borderId="0" xfId="0" applyFill="1" applyBorder="1" applyAlignment="1"/>
    <xf numFmtId="0" fontId="2" fillId="4" borderId="4" xfId="0" applyFont="1" applyFill="1" applyBorder="1" applyAlignment="1">
      <alignment horizontal="center"/>
    </xf>
    <xf numFmtId="0" fontId="0" fillId="4" borderId="0" xfId="0" applyNumberFormat="1" applyFill="1" applyBorder="1" applyAlignment="1"/>
    <xf numFmtId="0" fontId="0" fillId="4" borderId="3" xfId="0" applyFill="1" applyBorder="1" applyAlignment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2" borderId="1" xfId="0" applyFill="1" applyBorder="1"/>
    <xf numFmtId="0" fontId="3" fillId="2" borderId="1" xfId="0" applyFont="1" applyFill="1" applyBorder="1"/>
    <xf numFmtId="0" fontId="3" fillId="0" borderId="1" xfId="0" applyFont="1" applyBorder="1"/>
    <xf numFmtId="0" fontId="3" fillId="3" borderId="1" xfId="0" applyFont="1" applyFill="1" applyBorder="1"/>
    <xf numFmtId="0" fontId="0" fillId="3" borderId="1" xfId="0" applyFill="1" applyBorder="1"/>
    <xf numFmtId="0" fontId="3" fillId="4" borderId="1" xfId="0" applyFont="1" applyFill="1" applyBorder="1"/>
    <xf numFmtId="0" fontId="0" fillId="4" borderId="1" xfId="0" applyFill="1" applyBorder="1"/>
    <xf numFmtId="0" fontId="1" fillId="0" borderId="2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0" borderId="1" xfId="0" applyFont="1" applyBorder="1"/>
    <xf numFmtId="0" fontId="4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Series1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'Series - Answers'!$N$10:$N$19</c:f>
              <c:strCache>
                <c:ptCount val="10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More</c:v>
                </c:pt>
              </c:strCache>
            </c:strRef>
          </c:cat>
          <c:val>
            <c:numRef>
              <c:f>'Series - Answers'!$O$10:$O$19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189</c:v>
                </c:pt>
                <c:pt idx="4">
                  <c:v>206</c:v>
                </c:pt>
                <c:pt idx="5">
                  <c:v>222</c:v>
                </c:pt>
                <c:pt idx="6">
                  <c:v>199</c:v>
                </c:pt>
                <c:pt idx="7">
                  <c:v>184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361638560"/>
        <c:axId val="-1361637472"/>
      </c:barChart>
      <c:catAx>
        <c:axId val="-136163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361637472"/>
        <c:crosses val="autoZero"/>
        <c:auto val="1"/>
        <c:lblAlgn val="ctr"/>
        <c:lblOffset val="100"/>
        <c:noMultiLvlLbl val="0"/>
      </c:catAx>
      <c:valAx>
        <c:axId val="-1361637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361638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Series2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'Series - Answers'!$N$27:$N$36</c:f>
              <c:strCache>
                <c:ptCount val="10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More</c:v>
                </c:pt>
              </c:strCache>
            </c:strRef>
          </c:cat>
          <c:val>
            <c:numRef>
              <c:f>'Series - Answers'!$O$27:$O$36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63</c:v>
                </c:pt>
                <c:pt idx="4">
                  <c:v>232</c:v>
                </c:pt>
                <c:pt idx="5">
                  <c:v>405</c:v>
                </c:pt>
                <c:pt idx="6">
                  <c:v>229</c:v>
                </c:pt>
                <c:pt idx="7">
                  <c:v>60</c:v>
                </c:pt>
                <c:pt idx="8">
                  <c:v>3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361644544"/>
        <c:axId val="-1361640736"/>
      </c:barChart>
      <c:catAx>
        <c:axId val="-136164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361640736"/>
        <c:crosses val="autoZero"/>
        <c:auto val="1"/>
        <c:lblAlgn val="ctr"/>
        <c:lblOffset val="100"/>
        <c:noMultiLvlLbl val="0"/>
      </c:catAx>
      <c:valAx>
        <c:axId val="-13616407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361644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Series3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'Series - Answers'!$N$44:$N$53</c:f>
              <c:strCache>
                <c:ptCount val="10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More</c:v>
                </c:pt>
              </c:strCache>
            </c:strRef>
          </c:cat>
          <c:val>
            <c:numRef>
              <c:f>'Series - Answers'!$O$44:$O$53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361635840"/>
        <c:axId val="-1361636928"/>
      </c:barChart>
      <c:catAx>
        <c:axId val="-136163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361636928"/>
        <c:crosses val="autoZero"/>
        <c:auto val="1"/>
        <c:lblAlgn val="ctr"/>
        <c:lblOffset val="100"/>
        <c:noMultiLvlLbl val="0"/>
      </c:catAx>
      <c:valAx>
        <c:axId val="-1361636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1361635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6255</xdr:colOff>
      <xdr:row>8</xdr:row>
      <xdr:rowOff>11607</xdr:rowOff>
    </xdr:from>
    <xdr:to>
      <xdr:col>22</xdr:col>
      <xdr:colOff>48</xdr:colOff>
      <xdr:row>18</xdr:row>
      <xdr:rowOff>14269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21167</xdr:colOff>
      <xdr:row>25</xdr:row>
      <xdr:rowOff>8466</xdr:rowOff>
    </xdr:from>
    <xdr:to>
      <xdr:col>22</xdr:col>
      <xdr:colOff>19050</xdr:colOff>
      <xdr:row>35</xdr:row>
      <xdr:rowOff>23283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651933</xdr:colOff>
      <xdr:row>42</xdr:row>
      <xdr:rowOff>0</xdr:rowOff>
    </xdr:from>
    <xdr:to>
      <xdr:col>21</xdr:col>
      <xdr:colOff>651933</xdr:colOff>
      <xdr:row>52</xdr:row>
      <xdr:rowOff>4233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40"/>
  <sheetViews>
    <sheetView topLeftCell="A45" zoomScale="78" workbookViewId="0">
      <selection activeCell="I5" sqref="I5"/>
    </sheetView>
  </sheetViews>
  <sheetFormatPr defaultRowHeight="14" x14ac:dyDescent="0.3"/>
  <cols>
    <col min="1" max="1" width="4.6640625" customWidth="1"/>
    <col min="2" max="2" width="10.5" customWidth="1"/>
    <col min="3" max="3" width="13.1640625" customWidth="1"/>
    <col min="4" max="4" width="11.08203125" customWidth="1"/>
    <col min="5" max="5" width="10.9140625" customWidth="1"/>
    <col min="6" max="6" width="12.5" customWidth="1"/>
    <col min="8" max="8" width="10.5820312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13" x14ac:dyDescent="0.3">
      <c r="A2">
        <v>1</v>
      </c>
      <c r="B2" t="s">
        <v>6</v>
      </c>
      <c r="C2" t="s">
        <v>7</v>
      </c>
      <c r="D2" t="s">
        <v>8</v>
      </c>
      <c r="E2" t="s">
        <v>9</v>
      </c>
      <c r="F2" t="s">
        <v>10</v>
      </c>
    </row>
    <row r="3" spans="1:13" x14ac:dyDescent="0.3">
      <c r="A3">
        <v>2</v>
      </c>
      <c r="B3" t="s">
        <v>11</v>
      </c>
      <c r="C3" t="s">
        <v>12</v>
      </c>
      <c r="D3" t="s">
        <v>1</v>
      </c>
      <c r="E3" t="s">
        <v>9</v>
      </c>
      <c r="F3" t="s">
        <v>13</v>
      </c>
      <c r="H3" s="2"/>
      <c r="I3" s="36" t="s">
        <v>15</v>
      </c>
      <c r="J3" s="36" t="s">
        <v>9</v>
      </c>
      <c r="K3" s="36" t="s">
        <v>17</v>
      </c>
      <c r="L3" s="36" t="s">
        <v>26</v>
      </c>
      <c r="M3" s="2" t="s">
        <v>47</v>
      </c>
    </row>
    <row r="4" spans="1:13" x14ac:dyDescent="0.3">
      <c r="A4">
        <v>3</v>
      </c>
      <c r="B4" t="s">
        <v>14</v>
      </c>
      <c r="C4" t="s">
        <v>12</v>
      </c>
      <c r="D4" t="s">
        <v>8</v>
      </c>
      <c r="E4" t="s">
        <v>15</v>
      </c>
      <c r="F4" t="s">
        <v>13</v>
      </c>
      <c r="H4" s="36" t="s">
        <v>8</v>
      </c>
      <c r="I4" s="2">
        <f>COUNTIFS($D$2:$D$2240,"Urban",$E$2:$E$2240, "Minor")</f>
        <v>105</v>
      </c>
      <c r="J4" s="2">
        <f>COUNTIFS($D$2:$D$2240,"Urban",$E$2:$E$2240, "Medium")</f>
        <v>362</v>
      </c>
      <c r="K4" s="2">
        <f>COUNTIFS($D$2:$D$2240,"Urban",$E$2:$E$2240, "Major")</f>
        <v>151</v>
      </c>
      <c r="L4" s="2">
        <f>COUNTIFS($D$2:$D$2240,"Urban",$E$2:$E$2240, "Critical")</f>
        <v>244</v>
      </c>
      <c r="M4" s="2">
        <f>SUM(I4,J4,K4,L4)</f>
        <v>862</v>
      </c>
    </row>
    <row r="5" spans="1:13" x14ac:dyDescent="0.3">
      <c r="A5">
        <v>4</v>
      </c>
      <c r="B5" t="s">
        <v>16</v>
      </c>
      <c r="C5" t="s">
        <v>12</v>
      </c>
      <c r="D5" t="s">
        <v>1</v>
      </c>
      <c r="E5" t="s">
        <v>17</v>
      </c>
      <c r="F5" t="s">
        <v>10</v>
      </c>
      <c r="H5" s="27" t="s">
        <v>52</v>
      </c>
      <c r="I5" s="2">
        <f>($I$4/$M$4)*100</f>
        <v>12.180974477958237</v>
      </c>
      <c r="J5" s="2">
        <f>($J$4/$M$4)*100</f>
        <v>41.995359628770302</v>
      </c>
      <c r="K5" s="2">
        <f>($K$4/$M$4)*100</f>
        <v>17.51740139211137</v>
      </c>
      <c r="L5" s="2">
        <f>($L$4/$M$4)*100</f>
        <v>28.306264501160094</v>
      </c>
      <c r="M5" s="2"/>
    </row>
    <row r="6" spans="1:13" x14ac:dyDescent="0.3">
      <c r="A6">
        <v>5</v>
      </c>
      <c r="B6" t="s">
        <v>18</v>
      </c>
      <c r="C6" t="s">
        <v>7</v>
      </c>
      <c r="D6" t="s">
        <v>8</v>
      </c>
      <c r="E6" t="s">
        <v>19</v>
      </c>
      <c r="F6" t="s">
        <v>20</v>
      </c>
      <c r="H6" s="2"/>
      <c r="I6" s="2"/>
      <c r="J6" s="2"/>
      <c r="K6" s="2"/>
      <c r="L6" s="2"/>
      <c r="M6" s="2"/>
    </row>
    <row r="7" spans="1:13" x14ac:dyDescent="0.3">
      <c r="A7">
        <v>6</v>
      </c>
      <c r="B7" t="s">
        <v>18</v>
      </c>
      <c r="C7" t="s">
        <v>7</v>
      </c>
      <c r="D7" t="s">
        <v>1</v>
      </c>
      <c r="E7" t="s">
        <v>21</v>
      </c>
      <c r="F7" t="s">
        <v>13</v>
      </c>
      <c r="H7" s="36" t="s">
        <v>1</v>
      </c>
      <c r="I7" s="2">
        <f>COUNTIFS($D$2:$D$2240,"Country",$E$2:$E$2240, "Minor")</f>
        <v>125</v>
      </c>
      <c r="J7" s="2">
        <f>COUNTIFS($D$2:$D$2240,"Country",$E$2:$E$2240, "Medium")</f>
        <v>218</v>
      </c>
      <c r="K7" s="2">
        <f>COUNTIFS($D$2:$D$2240,"Country",$E$2:$E$2240, "Major")</f>
        <v>256</v>
      </c>
      <c r="L7" s="2">
        <f>COUNTIFS($D$2:$D$2240,"Country",$E$2:$E$2240, "Critical")</f>
        <v>87</v>
      </c>
      <c r="M7" s="2">
        <f>SUM(I7,J7,K7,L7)</f>
        <v>686</v>
      </c>
    </row>
    <row r="8" spans="1:13" x14ac:dyDescent="0.3">
      <c r="A8">
        <v>7</v>
      </c>
      <c r="B8" t="s">
        <v>16</v>
      </c>
      <c r="C8" t="s">
        <v>12</v>
      </c>
      <c r="D8" t="s">
        <v>8</v>
      </c>
      <c r="E8" t="s">
        <v>9</v>
      </c>
      <c r="F8" t="s">
        <v>10</v>
      </c>
      <c r="H8" s="27" t="s">
        <v>52</v>
      </c>
      <c r="I8" s="2">
        <f>(I7/M7)*100</f>
        <v>18.221574344023324</v>
      </c>
      <c r="J8" s="2">
        <f>(J7/M7)*100</f>
        <v>31.778425655976676</v>
      </c>
      <c r="K8" s="2">
        <f>(K7/M7)*100</f>
        <v>37.317784256559769</v>
      </c>
      <c r="L8" s="2">
        <f>(L7/M7)*100</f>
        <v>12.682215743440233</v>
      </c>
      <c r="M8" s="2"/>
    </row>
    <row r="9" spans="1:13" x14ac:dyDescent="0.3">
      <c r="A9">
        <v>8</v>
      </c>
      <c r="B9" t="s">
        <v>11</v>
      </c>
      <c r="C9" t="s">
        <v>12</v>
      </c>
      <c r="D9" t="s">
        <v>1</v>
      </c>
      <c r="E9" t="s">
        <v>21</v>
      </c>
      <c r="F9" t="s">
        <v>20</v>
      </c>
      <c r="H9" s="2"/>
      <c r="I9" s="2"/>
      <c r="J9" s="2"/>
      <c r="K9" s="2"/>
      <c r="L9" s="2"/>
      <c r="M9" s="2"/>
    </row>
    <row r="10" spans="1:13" x14ac:dyDescent="0.3">
      <c r="A10">
        <v>9</v>
      </c>
      <c r="B10" t="s">
        <v>11</v>
      </c>
      <c r="C10" t="s">
        <v>7</v>
      </c>
      <c r="D10" t="s">
        <v>22</v>
      </c>
      <c r="E10" t="s">
        <v>9</v>
      </c>
      <c r="F10" t="s">
        <v>23</v>
      </c>
      <c r="H10" s="36" t="s">
        <v>22</v>
      </c>
      <c r="I10" s="2">
        <f>COUNTIFS($D$2:$D$2240,"Highway",$E$2:$E$2240, "Minor")</f>
        <v>129</v>
      </c>
      <c r="J10" s="2">
        <f>COUNTIFS($D$2:$D$2240,"Highway",$E$2:$E$2240, "Medium")</f>
        <v>209</v>
      </c>
      <c r="K10" s="2">
        <f>COUNTIFS($D$2:$D$2240,"Highway",$E$2:$E$2240, "Major")</f>
        <v>260</v>
      </c>
      <c r="L10" s="2">
        <f>COUNTIFS($D$2:$D$2240,"Highway",$E$2:$E$2240, "critical")</f>
        <v>93</v>
      </c>
      <c r="M10" s="2">
        <f>SUM(I10:L10)</f>
        <v>691</v>
      </c>
    </row>
    <row r="11" spans="1:13" x14ac:dyDescent="0.3">
      <c r="A11">
        <v>10</v>
      </c>
      <c r="B11" t="s">
        <v>18</v>
      </c>
      <c r="C11" t="s">
        <v>12</v>
      </c>
      <c r="D11" t="s">
        <v>8</v>
      </c>
      <c r="E11" t="s">
        <v>19</v>
      </c>
      <c r="F11" t="s">
        <v>10</v>
      </c>
      <c r="H11" s="27" t="s">
        <v>52</v>
      </c>
      <c r="I11" s="2">
        <f>(I10/M10)*100</f>
        <v>18.668596237337194</v>
      </c>
      <c r="J11" s="2">
        <f>(J10/M10)*100</f>
        <v>30.246020260492042</v>
      </c>
      <c r="K11" s="2">
        <f>(K10/M10)*100</f>
        <v>37.626628075253251</v>
      </c>
      <c r="L11" s="2">
        <f>(L10/M10)*100</f>
        <v>13.458755426917509</v>
      </c>
      <c r="M11" s="2"/>
    </row>
    <row r="12" spans="1:13" x14ac:dyDescent="0.3">
      <c r="A12">
        <v>11</v>
      </c>
      <c r="B12" t="s">
        <v>11</v>
      </c>
      <c r="C12" t="s">
        <v>24</v>
      </c>
      <c r="D12" t="s">
        <v>22</v>
      </c>
      <c r="E12" t="s">
        <v>15</v>
      </c>
      <c r="F12" t="s">
        <v>20</v>
      </c>
    </row>
    <row r="13" spans="1:13" x14ac:dyDescent="0.3">
      <c r="A13">
        <v>12</v>
      </c>
      <c r="B13" t="s">
        <v>14</v>
      </c>
      <c r="C13" t="s">
        <v>7</v>
      </c>
      <c r="D13" t="s">
        <v>1</v>
      </c>
      <c r="E13" t="s">
        <v>15</v>
      </c>
      <c r="F13" t="s">
        <v>23</v>
      </c>
    </row>
    <row r="14" spans="1:13" x14ac:dyDescent="0.3">
      <c r="A14">
        <v>13</v>
      </c>
      <c r="B14" t="s">
        <v>18</v>
      </c>
      <c r="C14" t="s">
        <v>7</v>
      </c>
      <c r="D14" t="s">
        <v>8</v>
      </c>
      <c r="E14" t="s">
        <v>19</v>
      </c>
      <c r="F14" t="s">
        <v>10</v>
      </c>
    </row>
    <row r="15" spans="1:13" x14ac:dyDescent="0.3">
      <c r="A15">
        <v>14</v>
      </c>
      <c r="B15" t="s">
        <v>18</v>
      </c>
      <c r="C15" t="s">
        <v>7</v>
      </c>
      <c r="D15" t="s">
        <v>8</v>
      </c>
      <c r="E15" t="s">
        <v>19</v>
      </c>
      <c r="F15" t="s">
        <v>20</v>
      </c>
      <c r="H15" s="2"/>
      <c r="I15" s="36" t="s">
        <v>15</v>
      </c>
      <c r="J15" s="36" t="s">
        <v>9</v>
      </c>
      <c r="K15" s="36" t="s">
        <v>17</v>
      </c>
      <c r="L15" s="36" t="s">
        <v>26</v>
      </c>
      <c r="M15" s="2" t="s">
        <v>47</v>
      </c>
    </row>
    <row r="16" spans="1:13" x14ac:dyDescent="0.3">
      <c r="A16">
        <v>15</v>
      </c>
      <c r="B16" t="s">
        <v>14</v>
      </c>
      <c r="C16" t="s">
        <v>7</v>
      </c>
      <c r="D16" t="s">
        <v>22</v>
      </c>
      <c r="E16" t="s">
        <v>21</v>
      </c>
      <c r="F16" t="s">
        <v>20</v>
      </c>
      <c r="H16" s="36" t="s">
        <v>6</v>
      </c>
      <c r="I16" s="2">
        <f>COUNTIFS($B$2:$B$2240,"France",$E$2:$E$2240, "Minor")</f>
        <v>61</v>
      </c>
      <c r="J16" s="2">
        <f>COUNTIFS($B$2:$B$2240,"France",$E$2:$E$2240, "Medium")</f>
        <v>154</v>
      </c>
      <c r="K16" s="2">
        <f>COUNTIFS($B$2:$B$2240,"France",$E$2:$E$2240, "Major")</f>
        <v>98</v>
      </c>
      <c r="L16" s="2">
        <f>COUNTIFS($B$2:$B$2240,"France",$E$2:$E$2240, "critical")</f>
        <v>60</v>
      </c>
      <c r="M16" s="2">
        <f>SUM(I16:L16)</f>
        <v>373</v>
      </c>
    </row>
    <row r="17" spans="1:13" x14ac:dyDescent="0.3">
      <c r="A17">
        <v>16</v>
      </c>
      <c r="B17" t="s">
        <v>18</v>
      </c>
      <c r="C17" t="s">
        <v>7</v>
      </c>
      <c r="D17" t="s">
        <v>8</v>
      </c>
      <c r="E17" t="s">
        <v>19</v>
      </c>
      <c r="F17" t="s">
        <v>13</v>
      </c>
      <c r="H17" s="37" t="s">
        <v>52</v>
      </c>
      <c r="I17" s="2">
        <f>(I16/M16)*100</f>
        <v>16.353887399463808</v>
      </c>
      <c r="J17" s="2">
        <f>(J16/M16)*100</f>
        <v>41.286863270777481</v>
      </c>
      <c r="K17" s="2">
        <f>(K16/M16)*100</f>
        <v>26.273458445040216</v>
      </c>
      <c r="L17" s="2">
        <f>(L16/M16)*100</f>
        <v>16.085790884718499</v>
      </c>
      <c r="M17" s="2"/>
    </row>
    <row r="18" spans="1:13" x14ac:dyDescent="0.3">
      <c r="A18">
        <v>17</v>
      </c>
      <c r="B18" t="s">
        <v>11</v>
      </c>
      <c r="C18" t="s">
        <v>12</v>
      </c>
      <c r="D18" t="s">
        <v>8</v>
      </c>
      <c r="E18" t="s">
        <v>19</v>
      </c>
      <c r="F18" t="s">
        <v>20</v>
      </c>
      <c r="H18" s="2"/>
      <c r="I18" s="2"/>
      <c r="J18" s="2"/>
      <c r="K18" s="2"/>
      <c r="L18" s="2"/>
      <c r="M18" s="2"/>
    </row>
    <row r="19" spans="1:13" x14ac:dyDescent="0.3">
      <c r="A19">
        <v>18</v>
      </c>
      <c r="B19" t="s">
        <v>11</v>
      </c>
      <c r="C19" t="s">
        <v>12</v>
      </c>
      <c r="D19" t="s">
        <v>22</v>
      </c>
      <c r="E19" t="s">
        <v>19</v>
      </c>
      <c r="F19" t="s">
        <v>10</v>
      </c>
      <c r="H19" s="36" t="s">
        <v>14</v>
      </c>
      <c r="I19" s="2">
        <f>COUNTIFS($B$2:$B$2240,"Germany",$E$2:$E$2240, "Minor")</f>
        <v>77</v>
      </c>
      <c r="J19" s="2">
        <f>COUNTIFS($B$2:$B$2240,"Germany",$E$2:$E$2240, "Medium")</f>
        <v>132</v>
      </c>
      <c r="K19" s="2">
        <f>COUNTIFS($B$2:$B$2240,"Germany",$E$2:$E$2240, "Major")</f>
        <v>112</v>
      </c>
      <c r="L19" s="2">
        <f>COUNTIFS($B$2:$B$2240,"Germany",$E$2:$E$2240, "critical")</f>
        <v>53</v>
      </c>
      <c r="M19" s="2">
        <f>SUM(I19:L19)</f>
        <v>374</v>
      </c>
    </row>
    <row r="20" spans="1:13" x14ac:dyDescent="0.3">
      <c r="A20">
        <v>19</v>
      </c>
      <c r="B20" t="s">
        <v>14</v>
      </c>
      <c r="C20" t="s">
        <v>12</v>
      </c>
      <c r="D20" t="s">
        <v>8</v>
      </c>
      <c r="E20" t="s">
        <v>9</v>
      </c>
      <c r="F20" t="s">
        <v>10</v>
      </c>
      <c r="H20" s="27" t="s">
        <v>52</v>
      </c>
      <c r="I20" s="2">
        <f>(I19/M19)*100</f>
        <v>20.588235294117645</v>
      </c>
      <c r="J20" s="2">
        <f>(J19/M19)*100</f>
        <v>35.294117647058826</v>
      </c>
      <c r="K20" s="2">
        <f>(K19/M19)*100</f>
        <v>29.946524064171122</v>
      </c>
      <c r="L20" s="2">
        <f>(L19/M19)*100</f>
        <v>14.171122994652407</v>
      </c>
      <c r="M20" s="2"/>
    </row>
    <row r="21" spans="1:13" x14ac:dyDescent="0.3">
      <c r="A21">
        <v>20</v>
      </c>
      <c r="B21" t="s">
        <v>6</v>
      </c>
      <c r="C21" t="s">
        <v>7</v>
      </c>
      <c r="D21" t="s">
        <v>22</v>
      </c>
      <c r="E21" t="s">
        <v>15</v>
      </c>
      <c r="F21" t="s">
        <v>13</v>
      </c>
      <c r="H21" s="2"/>
      <c r="I21" s="2"/>
      <c r="J21" s="2"/>
      <c r="K21" s="2"/>
      <c r="L21" s="2"/>
      <c r="M21" s="2"/>
    </row>
    <row r="22" spans="1:13" x14ac:dyDescent="0.3">
      <c r="A22">
        <v>21</v>
      </c>
      <c r="B22" t="s">
        <v>25</v>
      </c>
      <c r="C22" t="s">
        <v>24</v>
      </c>
      <c r="D22" t="s">
        <v>1</v>
      </c>
      <c r="E22" t="s">
        <v>15</v>
      </c>
      <c r="F22" t="s">
        <v>20</v>
      </c>
      <c r="H22" s="36" t="s">
        <v>18</v>
      </c>
      <c r="I22" s="2">
        <f>COUNTIFS($B$2:$B$2240,"Italy",$E$2:$E$2240, "Minor")</f>
        <v>5</v>
      </c>
      <c r="J22" s="2">
        <f>COUNTIFS($B$2:$B$2240,"Italy",$E$2:$E$2240, "Medium")</f>
        <v>73</v>
      </c>
      <c r="K22" s="2">
        <f>COUNTIFS($B$2:$B$2240,"Italy",$E$2:$E$2240, "Major")</f>
        <v>155</v>
      </c>
      <c r="L22" s="2">
        <f>COUNTIFS($B$2:$B$2240,"Italy",$E$2:$E$2240, "critical")</f>
        <v>140</v>
      </c>
      <c r="M22" s="2">
        <f>SUM(I22:L22)</f>
        <v>373</v>
      </c>
    </row>
    <row r="23" spans="1:13" x14ac:dyDescent="0.3">
      <c r="A23">
        <v>22</v>
      </c>
      <c r="B23" t="s">
        <v>18</v>
      </c>
      <c r="C23" t="s">
        <v>7</v>
      </c>
      <c r="D23" t="s">
        <v>8</v>
      </c>
      <c r="E23" t="s">
        <v>9</v>
      </c>
      <c r="F23" t="s">
        <v>20</v>
      </c>
      <c r="H23" s="27" t="s">
        <v>52</v>
      </c>
      <c r="I23" s="2">
        <f>(I22/M22)*100</f>
        <v>1.3404825737265416</v>
      </c>
      <c r="J23" s="2">
        <f>(J22/M22)*100</f>
        <v>19.571045576407506</v>
      </c>
      <c r="K23" s="2">
        <f>(K22/M22)*100</f>
        <v>41.55495978552279</v>
      </c>
      <c r="L23" s="2">
        <f>(L22/M22)*100</f>
        <v>37.533512064343164</v>
      </c>
      <c r="M23" s="2"/>
    </row>
    <row r="24" spans="1:13" x14ac:dyDescent="0.3">
      <c r="A24">
        <v>23</v>
      </c>
      <c r="B24" t="s">
        <v>16</v>
      </c>
      <c r="C24" t="s">
        <v>12</v>
      </c>
      <c r="D24" t="s">
        <v>8</v>
      </c>
      <c r="E24" t="s">
        <v>9</v>
      </c>
      <c r="F24" t="s">
        <v>13</v>
      </c>
      <c r="H24" s="2"/>
      <c r="I24" s="2"/>
      <c r="J24" s="2"/>
      <c r="K24" s="2"/>
      <c r="L24" s="2"/>
      <c r="M24" s="2"/>
    </row>
    <row r="25" spans="1:13" x14ac:dyDescent="0.3">
      <c r="A25">
        <v>24</v>
      </c>
      <c r="B25" t="s">
        <v>16</v>
      </c>
      <c r="C25" t="s">
        <v>7</v>
      </c>
      <c r="D25" t="s">
        <v>1</v>
      </c>
      <c r="E25" t="s">
        <v>9</v>
      </c>
      <c r="F25" t="s">
        <v>20</v>
      </c>
      <c r="H25" s="36" t="s">
        <v>25</v>
      </c>
      <c r="I25" s="2">
        <f>COUNTIFS($B$2:$B$2240,"Sweden",$E$2:$E$2240, "Minor")</f>
        <v>76</v>
      </c>
      <c r="J25" s="2">
        <f>COUNTIFS($B$2:$B$2240,"Sweden",$E$2:$E$2240, "Medium")</f>
        <v>140</v>
      </c>
      <c r="K25" s="2">
        <f>COUNTIFS($B$2:$B$2240,"Sweden",$E$2:$E$2240, "Major")</f>
        <v>98</v>
      </c>
      <c r="L25" s="2">
        <f>COUNTIFS($B$2:$B$2240,"Sweden",$E$2:$E$2240, "critical")</f>
        <v>59</v>
      </c>
      <c r="M25" s="2">
        <f>SUM(I25:L25)</f>
        <v>373</v>
      </c>
    </row>
    <row r="26" spans="1:13" x14ac:dyDescent="0.3">
      <c r="A26">
        <v>25</v>
      </c>
      <c r="B26" t="s">
        <v>25</v>
      </c>
      <c r="C26" t="s">
        <v>12</v>
      </c>
      <c r="D26" t="s">
        <v>1</v>
      </c>
      <c r="E26" t="s">
        <v>21</v>
      </c>
      <c r="F26" t="s">
        <v>23</v>
      </c>
      <c r="H26" s="27" t="s">
        <v>52</v>
      </c>
      <c r="I26" s="2">
        <f>(I25/M25)*100</f>
        <v>20.375335120643431</v>
      </c>
      <c r="J26" s="2">
        <f>(J25/M25)*100</f>
        <v>37.533512064343164</v>
      </c>
      <c r="K26" s="2">
        <f>(K25/M25)*100</f>
        <v>26.273458445040216</v>
      </c>
      <c r="L26" s="2">
        <f>(L25/M25)*100</f>
        <v>15.817694369973189</v>
      </c>
      <c r="M26" s="2"/>
    </row>
    <row r="27" spans="1:13" x14ac:dyDescent="0.3">
      <c r="A27">
        <v>26</v>
      </c>
      <c r="B27" t="s">
        <v>18</v>
      </c>
      <c r="C27" t="s">
        <v>12</v>
      </c>
      <c r="D27" t="s">
        <v>8</v>
      </c>
      <c r="E27" t="s">
        <v>19</v>
      </c>
      <c r="F27" t="s">
        <v>20</v>
      </c>
      <c r="H27" s="2"/>
      <c r="I27" s="2"/>
      <c r="J27" s="2"/>
      <c r="K27" s="2"/>
      <c r="L27" s="2"/>
      <c r="M27" s="2"/>
    </row>
    <row r="28" spans="1:13" x14ac:dyDescent="0.3">
      <c r="A28">
        <v>27</v>
      </c>
      <c r="B28" t="s">
        <v>16</v>
      </c>
      <c r="C28" t="s">
        <v>12</v>
      </c>
      <c r="D28" t="s">
        <v>1</v>
      </c>
      <c r="E28" t="s">
        <v>17</v>
      </c>
      <c r="F28" t="s">
        <v>10</v>
      </c>
      <c r="H28" s="36" t="s">
        <v>16</v>
      </c>
      <c r="I28" s="2">
        <f>COUNTIFS($B$2:$B$2240,"UK",$E$2:$E$2240, "Minor")</f>
        <v>69</v>
      </c>
      <c r="J28" s="2">
        <f>COUNTIFS($B$2:$B$2240,"UK",$E$2:$E$2240, "Medium")</f>
        <v>154</v>
      </c>
      <c r="K28" s="2">
        <f>COUNTIFS($B$2:$B$2240,"UK",$E$2:$E$2240, "Major")</f>
        <v>99</v>
      </c>
      <c r="L28" s="2">
        <f>COUNTIFS($B$2:$B$2240,"UK",$E$2:$E$2240, "critical")</f>
        <v>51</v>
      </c>
      <c r="M28" s="2">
        <f>SUM(I28:L28)</f>
        <v>373</v>
      </c>
    </row>
    <row r="29" spans="1:13" x14ac:dyDescent="0.3">
      <c r="A29">
        <v>28</v>
      </c>
      <c r="B29" t="s">
        <v>6</v>
      </c>
      <c r="C29" t="s">
        <v>12</v>
      </c>
      <c r="D29" t="s">
        <v>22</v>
      </c>
      <c r="E29" t="s">
        <v>21</v>
      </c>
      <c r="F29" t="s">
        <v>23</v>
      </c>
      <c r="H29" s="37" t="s">
        <v>52</v>
      </c>
      <c r="I29" s="2">
        <f>(I28/M28)*100</f>
        <v>18.498659517426276</v>
      </c>
      <c r="J29" s="2">
        <f>(J28/M28)*100</f>
        <v>41.286863270777481</v>
      </c>
      <c r="K29" s="2">
        <f>(K28/M28)*100</f>
        <v>26.541554959785525</v>
      </c>
      <c r="L29" s="2">
        <f>(L28/M28)*100</f>
        <v>13.672922252010725</v>
      </c>
      <c r="M29" s="2"/>
    </row>
    <row r="30" spans="1:13" x14ac:dyDescent="0.3">
      <c r="A30">
        <v>29</v>
      </c>
      <c r="B30" t="s">
        <v>25</v>
      </c>
      <c r="C30" t="s">
        <v>7</v>
      </c>
      <c r="D30" t="s">
        <v>1</v>
      </c>
      <c r="E30" t="s">
        <v>9</v>
      </c>
      <c r="F30" t="s">
        <v>10</v>
      </c>
      <c r="H30" s="2"/>
      <c r="I30" s="2"/>
      <c r="J30" s="2"/>
      <c r="K30" s="2"/>
      <c r="L30" s="2"/>
      <c r="M30" s="2"/>
    </row>
    <row r="31" spans="1:13" x14ac:dyDescent="0.3">
      <c r="A31">
        <v>30</v>
      </c>
      <c r="B31" t="s">
        <v>11</v>
      </c>
      <c r="C31" t="s">
        <v>7</v>
      </c>
      <c r="D31" t="s">
        <v>8</v>
      </c>
      <c r="E31" t="s">
        <v>9</v>
      </c>
      <c r="F31" t="s">
        <v>10</v>
      </c>
      <c r="H31" s="36" t="s">
        <v>11</v>
      </c>
      <c r="I31" s="2">
        <f>COUNTIFS($B$2:$B$2240,"US",$E$2:$E$2240, "Minor")</f>
        <v>71</v>
      </c>
      <c r="J31" s="2">
        <f>COUNTIFS($B$2:$B$2240,"US",$E$2:$E$2240, "Medium")</f>
        <v>136</v>
      </c>
      <c r="K31" s="2">
        <f>COUNTIFS($B$2:$B$2240,"US",$E$2:$E$2240, "Major")</f>
        <v>105</v>
      </c>
      <c r="L31" s="2">
        <f>COUNTIFS($B$2:$B$2240,"US",$E$2:$E$2240, "critical")</f>
        <v>61</v>
      </c>
      <c r="M31" s="2">
        <f>SUM(I31:L31)</f>
        <v>373</v>
      </c>
    </row>
    <row r="32" spans="1:13" x14ac:dyDescent="0.3">
      <c r="A32">
        <v>31</v>
      </c>
      <c r="B32" t="s">
        <v>18</v>
      </c>
      <c r="C32" t="s">
        <v>12</v>
      </c>
      <c r="D32" t="s">
        <v>22</v>
      </c>
      <c r="E32" t="s">
        <v>21</v>
      </c>
      <c r="F32" t="s">
        <v>13</v>
      </c>
      <c r="H32" s="27" t="s">
        <v>52</v>
      </c>
      <c r="I32" s="2">
        <f>(I31/M31)*100</f>
        <v>19.034852546916888</v>
      </c>
      <c r="J32" s="2">
        <f>(J31/M31)*100</f>
        <v>36.461126005361933</v>
      </c>
      <c r="K32" s="2">
        <f>(K31/M31)*100</f>
        <v>28.150134048257375</v>
      </c>
      <c r="L32" s="2">
        <f>(L31/M31)*100</f>
        <v>16.353887399463808</v>
      </c>
      <c r="M32" s="2"/>
    </row>
    <row r="33" spans="1:13" x14ac:dyDescent="0.3">
      <c r="A33">
        <v>32</v>
      </c>
      <c r="B33" t="s">
        <v>14</v>
      </c>
      <c r="C33" t="s">
        <v>12</v>
      </c>
      <c r="D33" t="s">
        <v>8</v>
      </c>
      <c r="E33" t="s">
        <v>19</v>
      </c>
      <c r="F33" t="s">
        <v>23</v>
      </c>
    </row>
    <row r="34" spans="1:13" x14ac:dyDescent="0.3">
      <c r="A34">
        <v>33</v>
      </c>
      <c r="B34" t="s">
        <v>16</v>
      </c>
      <c r="C34" t="s">
        <v>12</v>
      </c>
      <c r="D34" t="s">
        <v>8</v>
      </c>
      <c r="E34" t="s">
        <v>9</v>
      </c>
      <c r="F34" t="s">
        <v>23</v>
      </c>
    </row>
    <row r="35" spans="1:13" x14ac:dyDescent="0.3">
      <c r="A35">
        <v>34</v>
      </c>
      <c r="B35" t="s">
        <v>18</v>
      </c>
      <c r="C35" t="s">
        <v>7</v>
      </c>
      <c r="D35" t="s">
        <v>8</v>
      </c>
      <c r="E35" t="s">
        <v>19</v>
      </c>
      <c r="F35" t="s">
        <v>13</v>
      </c>
      <c r="H35" s="1"/>
    </row>
    <row r="36" spans="1:13" x14ac:dyDescent="0.3">
      <c r="A36">
        <v>35</v>
      </c>
      <c r="B36" t="s">
        <v>11</v>
      </c>
      <c r="C36" t="s">
        <v>7</v>
      </c>
      <c r="D36" t="s">
        <v>22</v>
      </c>
      <c r="E36" t="s">
        <v>21</v>
      </c>
      <c r="F36" t="s">
        <v>13</v>
      </c>
      <c r="H36" s="36"/>
      <c r="I36" s="36" t="s">
        <v>15</v>
      </c>
      <c r="J36" s="36" t="s">
        <v>9</v>
      </c>
      <c r="K36" s="36" t="s">
        <v>17</v>
      </c>
      <c r="L36" s="36" t="s">
        <v>26</v>
      </c>
      <c r="M36" s="2" t="s">
        <v>47</v>
      </c>
    </row>
    <row r="37" spans="1:13" x14ac:dyDescent="0.3">
      <c r="A37">
        <v>36</v>
      </c>
      <c r="B37" t="s">
        <v>6</v>
      </c>
      <c r="C37" t="s">
        <v>12</v>
      </c>
      <c r="D37" t="s">
        <v>8</v>
      </c>
      <c r="E37" t="s">
        <v>9</v>
      </c>
      <c r="F37" t="s">
        <v>23</v>
      </c>
      <c r="H37" s="36" t="s">
        <v>7</v>
      </c>
      <c r="I37" s="2">
        <f>COUNTIFS($C$2:$C$2240,"Day",$E$2:$E$2240, "Minor")</f>
        <v>116</v>
      </c>
      <c r="J37" s="2">
        <f>COUNTIFS($C$2:$C$2240,"Day",$E$2:$E$2240, "Medium")</f>
        <v>422</v>
      </c>
      <c r="K37" s="2">
        <f>COUNTIFS($C$2:$C$2240,"Day",$E$2:$E$2240, "Major")</f>
        <v>304</v>
      </c>
      <c r="L37" s="2">
        <f>COUNTIFS($C$2:$C$2240,"Day",$E$2:$E$2240, "critical")</f>
        <v>153</v>
      </c>
      <c r="M37" s="2">
        <f>SUM(I37:L37)</f>
        <v>995</v>
      </c>
    </row>
    <row r="38" spans="1:13" x14ac:dyDescent="0.3">
      <c r="A38">
        <v>37</v>
      </c>
      <c r="B38" t="s">
        <v>16</v>
      </c>
      <c r="C38" t="s">
        <v>7</v>
      </c>
      <c r="D38" t="s">
        <v>8</v>
      </c>
      <c r="E38" t="s">
        <v>9</v>
      </c>
      <c r="F38" t="s">
        <v>10</v>
      </c>
      <c r="H38" s="27" t="s">
        <v>52</v>
      </c>
      <c r="I38" s="2">
        <f>(I37/M37)*100</f>
        <v>11.658291457286433</v>
      </c>
      <c r="J38" s="2">
        <f>(J37/M37)*100</f>
        <v>42.412060301507537</v>
      </c>
      <c r="K38" s="2">
        <f>(K37/M37)*100</f>
        <v>30.552763819095478</v>
      </c>
      <c r="L38" s="2">
        <f>(L37/M37)*100</f>
        <v>15.376884422110553</v>
      </c>
      <c r="M38" s="2"/>
    </row>
    <row r="39" spans="1:13" x14ac:dyDescent="0.3">
      <c r="A39">
        <v>38</v>
      </c>
      <c r="B39" t="s">
        <v>11</v>
      </c>
      <c r="C39" t="s">
        <v>12</v>
      </c>
      <c r="D39" t="s">
        <v>8</v>
      </c>
      <c r="E39" t="s">
        <v>15</v>
      </c>
      <c r="F39" t="s">
        <v>20</v>
      </c>
      <c r="H39" s="2"/>
      <c r="I39" s="2"/>
      <c r="J39" s="2"/>
      <c r="K39" s="2"/>
      <c r="L39" s="2"/>
      <c r="M39" s="2"/>
    </row>
    <row r="40" spans="1:13" x14ac:dyDescent="0.3">
      <c r="A40">
        <v>39</v>
      </c>
      <c r="B40" t="s">
        <v>11</v>
      </c>
      <c r="C40" t="s">
        <v>12</v>
      </c>
      <c r="D40" t="s">
        <v>8</v>
      </c>
      <c r="E40" t="s">
        <v>19</v>
      </c>
      <c r="F40" t="s">
        <v>23</v>
      </c>
      <c r="H40" s="36" t="s">
        <v>24</v>
      </c>
      <c r="I40" s="2">
        <f>COUNTIFS($C$2:$C$2240,"Dusk",$E$2:$E$2240, "Minor")</f>
        <v>121</v>
      </c>
      <c r="J40" s="2">
        <f>COUNTIFS($C$2:$C$2240,"Dusk",$E$2:$E$2240, "Medium")</f>
        <v>32</v>
      </c>
      <c r="K40" s="2">
        <f>COUNTIFS($C$2:$C$2240,"Dusk",$E$2:$E$2240, "Major")</f>
        <v>18</v>
      </c>
      <c r="L40" s="2">
        <f>COUNTIFS($C$2:$C$2240,"Dusk",$E$2:$E$2240, "critical")</f>
        <v>80</v>
      </c>
      <c r="M40" s="2">
        <f>SUM(I40:L40)</f>
        <v>251</v>
      </c>
    </row>
    <row r="41" spans="1:13" x14ac:dyDescent="0.3">
      <c r="A41">
        <v>40</v>
      </c>
      <c r="B41" t="s">
        <v>11</v>
      </c>
      <c r="C41" t="s">
        <v>12</v>
      </c>
      <c r="D41" t="s">
        <v>1</v>
      </c>
      <c r="E41" t="s">
        <v>9</v>
      </c>
      <c r="F41" t="s">
        <v>20</v>
      </c>
      <c r="H41" s="27" t="s">
        <v>52</v>
      </c>
      <c r="I41" s="2">
        <f>(I40/M40)*100</f>
        <v>48.207171314741039</v>
      </c>
      <c r="J41" s="2">
        <f>(J40/M40)*100</f>
        <v>12.749003984063744</v>
      </c>
      <c r="K41" s="2">
        <f>(K40/M40)*100</f>
        <v>7.1713147410358573</v>
      </c>
      <c r="L41" s="2">
        <f>(L40/M40)*100</f>
        <v>31.872509960159363</v>
      </c>
      <c r="M41" s="2"/>
    </row>
    <row r="42" spans="1:13" x14ac:dyDescent="0.3">
      <c r="A42">
        <v>41</v>
      </c>
      <c r="B42" t="s">
        <v>16</v>
      </c>
      <c r="C42" t="s">
        <v>12</v>
      </c>
      <c r="D42" t="s">
        <v>8</v>
      </c>
      <c r="E42" t="s">
        <v>19</v>
      </c>
      <c r="F42" t="s">
        <v>23</v>
      </c>
      <c r="H42" s="2"/>
      <c r="I42" s="2"/>
      <c r="J42" s="2"/>
      <c r="K42" s="2"/>
      <c r="L42" s="2"/>
      <c r="M42" s="2"/>
    </row>
    <row r="43" spans="1:13" x14ac:dyDescent="0.3">
      <c r="A43">
        <v>42</v>
      </c>
      <c r="B43" t="s">
        <v>11</v>
      </c>
      <c r="C43" t="s">
        <v>12</v>
      </c>
      <c r="D43" t="s">
        <v>8</v>
      </c>
      <c r="E43" t="s">
        <v>9</v>
      </c>
      <c r="F43" t="s">
        <v>10</v>
      </c>
      <c r="H43" s="36" t="s">
        <v>12</v>
      </c>
      <c r="I43" s="2">
        <f>COUNTIFS($C$2:$C$2240,"Night",$E$2:$E$2240,"Minor")</f>
        <v>122</v>
      </c>
      <c r="J43" s="2">
        <f>COUNTIFS($C$2:$C$2240,"Night",$E$2:$E$2240,"Medium")</f>
        <v>335</v>
      </c>
      <c r="K43" s="2">
        <f>COUNTIFS($C$2:$C$2240,"Night",$E$2:$E$2240,"Major")</f>
        <v>345</v>
      </c>
      <c r="L43" s="2">
        <f>COUNTIFS($C$2:$C$2240,"Night",$E$2:$E$2240,"Critical")</f>
        <v>191</v>
      </c>
      <c r="M43" s="2">
        <f>SUM(I43:L43)</f>
        <v>993</v>
      </c>
    </row>
    <row r="44" spans="1:13" x14ac:dyDescent="0.3">
      <c r="A44">
        <v>43</v>
      </c>
      <c r="B44" t="s">
        <v>6</v>
      </c>
      <c r="C44" t="s">
        <v>12</v>
      </c>
      <c r="D44" t="s">
        <v>22</v>
      </c>
      <c r="E44" t="s">
        <v>21</v>
      </c>
      <c r="F44" t="s">
        <v>20</v>
      </c>
      <c r="H44" s="27" t="s">
        <v>52</v>
      </c>
      <c r="I44" s="2">
        <f>(I43/M43)*100</f>
        <v>12.28600201409869</v>
      </c>
      <c r="J44" s="2">
        <f>(J43/M43)*100</f>
        <v>33.736153071500503</v>
      </c>
      <c r="K44" s="2">
        <f>(K43/M43)*100</f>
        <v>34.743202416918429</v>
      </c>
      <c r="L44" s="2">
        <f>(L43/M43)*100</f>
        <v>19.234642497482376</v>
      </c>
      <c r="M44" s="2"/>
    </row>
    <row r="45" spans="1:13" x14ac:dyDescent="0.3">
      <c r="A45">
        <v>44</v>
      </c>
      <c r="B45" t="s">
        <v>16</v>
      </c>
      <c r="C45" t="s">
        <v>12</v>
      </c>
      <c r="D45" t="s">
        <v>22</v>
      </c>
      <c r="E45" t="s">
        <v>9</v>
      </c>
      <c r="F45" t="s">
        <v>23</v>
      </c>
    </row>
    <row r="46" spans="1:13" x14ac:dyDescent="0.3">
      <c r="A46">
        <v>45</v>
      </c>
      <c r="B46" t="s">
        <v>6</v>
      </c>
      <c r="C46" t="s">
        <v>12</v>
      </c>
      <c r="D46" t="s">
        <v>8</v>
      </c>
      <c r="E46" t="s">
        <v>9</v>
      </c>
      <c r="F46" t="s">
        <v>20</v>
      </c>
    </row>
    <row r="47" spans="1:13" x14ac:dyDescent="0.3">
      <c r="A47">
        <v>46</v>
      </c>
      <c r="B47" t="s">
        <v>11</v>
      </c>
      <c r="C47" t="s">
        <v>12</v>
      </c>
      <c r="D47" t="s">
        <v>1</v>
      </c>
      <c r="E47" t="s">
        <v>9</v>
      </c>
      <c r="F47" t="s">
        <v>23</v>
      </c>
    </row>
    <row r="48" spans="1:13" x14ac:dyDescent="0.3">
      <c r="A48">
        <v>47</v>
      </c>
      <c r="B48" t="s">
        <v>6</v>
      </c>
      <c r="C48" t="s">
        <v>12</v>
      </c>
      <c r="D48" t="s">
        <v>1</v>
      </c>
      <c r="E48" t="s">
        <v>9</v>
      </c>
      <c r="F48" t="s">
        <v>10</v>
      </c>
    </row>
    <row r="49" spans="1:6" x14ac:dyDescent="0.3">
      <c r="A49">
        <v>48</v>
      </c>
      <c r="B49" t="s">
        <v>16</v>
      </c>
      <c r="C49" t="s">
        <v>7</v>
      </c>
      <c r="D49" t="s">
        <v>1</v>
      </c>
      <c r="E49" t="s">
        <v>15</v>
      </c>
      <c r="F49" t="s">
        <v>20</v>
      </c>
    </row>
    <row r="50" spans="1:6" x14ac:dyDescent="0.3">
      <c r="A50">
        <v>49</v>
      </c>
      <c r="B50" t="s">
        <v>16</v>
      </c>
      <c r="C50" t="s">
        <v>12</v>
      </c>
      <c r="D50" t="s">
        <v>1</v>
      </c>
      <c r="E50" t="s">
        <v>21</v>
      </c>
      <c r="F50" t="s">
        <v>20</v>
      </c>
    </row>
    <row r="51" spans="1:6" x14ac:dyDescent="0.3">
      <c r="A51">
        <v>50</v>
      </c>
      <c r="B51" t="s">
        <v>25</v>
      </c>
      <c r="C51" t="s">
        <v>12</v>
      </c>
      <c r="D51" t="s">
        <v>8</v>
      </c>
      <c r="E51" t="s">
        <v>17</v>
      </c>
      <c r="F51" t="s">
        <v>10</v>
      </c>
    </row>
    <row r="52" spans="1:6" x14ac:dyDescent="0.3">
      <c r="A52">
        <v>51</v>
      </c>
      <c r="B52" t="s">
        <v>14</v>
      </c>
      <c r="C52" t="s">
        <v>12</v>
      </c>
      <c r="D52" t="s">
        <v>8</v>
      </c>
      <c r="E52" t="s">
        <v>9</v>
      </c>
      <c r="F52" t="s">
        <v>13</v>
      </c>
    </row>
    <row r="53" spans="1:6" x14ac:dyDescent="0.3">
      <c r="A53">
        <v>52</v>
      </c>
      <c r="B53" t="s">
        <v>14</v>
      </c>
      <c r="C53" t="s">
        <v>12</v>
      </c>
      <c r="D53" t="s">
        <v>8</v>
      </c>
      <c r="E53" t="s">
        <v>19</v>
      </c>
      <c r="F53" t="s">
        <v>23</v>
      </c>
    </row>
    <row r="54" spans="1:6" x14ac:dyDescent="0.3">
      <c r="A54">
        <v>53</v>
      </c>
      <c r="B54" t="s">
        <v>11</v>
      </c>
      <c r="C54" t="s">
        <v>12</v>
      </c>
      <c r="D54" t="s">
        <v>8</v>
      </c>
      <c r="E54" t="s">
        <v>17</v>
      </c>
      <c r="F54" t="s">
        <v>10</v>
      </c>
    </row>
    <row r="55" spans="1:6" x14ac:dyDescent="0.3">
      <c r="A55">
        <v>54</v>
      </c>
      <c r="B55" t="s">
        <v>6</v>
      </c>
      <c r="C55" t="s">
        <v>7</v>
      </c>
      <c r="D55" t="s">
        <v>1</v>
      </c>
      <c r="E55" t="s">
        <v>9</v>
      </c>
      <c r="F55" t="s">
        <v>20</v>
      </c>
    </row>
    <row r="56" spans="1:6" x14ac:dyDescent="0.3">
      <c r="A56">
        <v>55</v>
      </c>
      <c r="B56" t="s">
        <v>25</v>
      </c>
      <c r="C56" t="s">
        <v>7</v>
      </c>
      <c r="D56" t="s">
        <v>1</v>
      </c>
      <c r="E56" t="s">
        <v>19</v>
      </c>
      <c r="F56" t="s">
        <v>10</v>
      </c>
    </row>
    <row r="57" spans="1:6" x14ac:dyDescent="0.3">
      <c r="A57">
        <v>56</v>
      </c>
      <c r="B57" t="s">
        <v>14</v>
      </c>
      <c r="C57" t="s">
        <v>12</v>
      </c>
      <c r="D57" t="s">
        <v>8</v>
      </c>
      <c r="E57" t="s">
        <v>19</v>
      </c>
      <c r="F57" t="s">
        <v>20</v>
      </c>
    </row>
    <row r="58" spans="1:6" x14ac:dyDescent="0.3">
      <c r="A58">
        <v>57</v>
      </c>
      <c r="B58" t="s">
        <v>6</v>
      </c>
      <c r="C58" t="s">
        <v>7</v>
      </c>
      <c r="D58" t="s">
        <v>8</v>
      </c>
      <c r="E58" t="s">
        <v>15</v>
      </c>
      <c r="F58" t="s">
        <v>23</v>
      </c>
    </row>
    <row r="59" spans="1:6" x14ac:dyDescent="0.3">
      <c r="A59">
        <v>58</v>
      </c>
      <c r="B59" t="s">
        <v>18</v>
      </c>
      <c r="C59" t="s">
        <v>12</v>
      </c>
      <c r="D59" t="s">
        <v>8</v>
      </c>
      <c r="E59" t="s">
        <v>9</v>
      </c>
      <c r="F59" t="s">
        <v>23</v>
      </c>
    </row>
    <row r="60" spans="1:6" x14ac:dyDescent="0.3">
      <c r="A60">
        <v>59</v>
      </c>
      <c r="B60" t="s">
        <v>14</v>
      </c>
      <c r="C60" t="s">
        <v>12</v>
      </c>
      <c r="D60" t="s">
        <v>8</v>
      </c>
      <c r="E60" t="s">
        <v>9</v>
      </c>
      <c r="F60" t="s">
        <v>13</v>
      </c>
    </row>
    <row r="61" spans="1:6" x14ac:dyDescent="0.3">
      <c r="A61">
        <v>60</v>
      </c>
      <c r="B61" t="s">
        <v>14</v>
      </c>
      <c r="C61" t="s">
        <v>24</v>
      </c>
      <c r="D61" t="s">
        <v>22</v>
      </c>
      <c r="E61" t="s">
        <v>15</v>
      </c>
      <c r="F61" t="s">
        <v>23</v>
      </c>
    </row>
    <row r="62" spans="1:6" x14ac:dyDescent="0.3">
      <c r="A62">
        <v>61</v>
      </c>
      <c r="B62" t="s">
        <v>25</v>
      </c>
      <c r="C62" t="s">
        <v>7</v>
      </c>
      <c r="D62" t="s">
        <v>8</v>
      </c>
      <c r="E62" t="s">
        <v>19</v>
      </c>
      <c r="F62" t="s">
        <v>20</v>
      </c>
    </row>
    <row r="63" spans="1:6" x14ac:dyDescent="0.3">
      <c r="A63">
        <v>62</v>
      </c>
      <c r="B63" t="s">
        <v>11</v>
      </c>
      <c r="C63" t="s">
        <v>12</v>
      </c>
      <c r="D63" t="s">
        <v>22</v>
      </c>
      <c r="E63" t="s">
        <v>9</v>
      </c>
      <c r="F63" t="s">
        <v>23</v>
      </c>
    </row>
    <row r="64" spans="1:6" x14ac:dyDescent="0.3">
      <c r="A64">
        <v>63</v>
      </c>
      <c r="B64" t="s">
        <v>6</v>
      </c>
      <c r="C64" t="s">
        <v>12</v>
      </c>
      <c r="D64" t="s">
        <v>8</v>
      </c>
      <c r="E64" t="s">
        <v>19</v>
      </c>
      <c r="F64" t="s">
        <v>23</v>
      </c>
    </row>
    <row r="65" spans="1:6" x14ac:dyDescent="0.3">
      <c r="A65">
        <v>64</v>
      </c>
      <c r="B65" t="s">
        <v>18</v>
      </c>
      <c r="C65" t="s">
        <v>7</v>
      </c>
      <c r="D65" t="s">
        <v>8</v>
      </c>
      <c r="E65" t="s">
        <v>19</v>
      </c>
      <c r="F65" t="s">
        <v>10</v>
      </c>
    </row>
    <row r="66" spans="1:6" x14ac:dyDescent="0.3">
      <c r="A66">
        <v>65</v>
      </c>
      <c r="B66" t="s">
        <v>18</v>
      </c>
      <c r="C66" t="s">
        <v>12</v>
      </c>
      <c r="D66" t="s">
        <v>1</v>
      </c>
      <c r="E66" t="s">
        <v>21</v>
      </c>
      <c r="F66" t="s">
        <v>20</v>
      </c>
    </row>
    <row r="67" spans="1:6" x14ac:dyDescent="0.3">
      <c r="A67">
        <v>66</v>
      </c>
      <c r="B67" t="s">
        <v>6</v>
      </c>
      <c r="C67" t="s">
        <v>24</v>
      </c>
      <c r="D67" t="s">
        <v>1</v>
      </c>
      <c r="E67" t="s">
        <v>17</v>
      </c>
      <c r="F67" t="s">
        <v>10</v>
      </c>
    </row>
    <row r="68" spans="1:6" x14ac:dyDescent="0.3">
      <c r="A68">
        <v>67</v>
      </c>
      <c r="B68" t="s">
        <v>18</v>
      </c>
      <c r="C68" t="s">
        <v>12</v>
      </c>
      <c r="D68" t="s">
        <v>1</v>
      </c>
      <c r="E68" t="s">
        <v>21</v>
      </c>
      <c r="F68" t="s">
        <v>23</v>
      </c>
    </row>
    <row r="69" spans="1:6" x14ac:dyDescent="0.3">
      <c r="A69">
        <v>68</v>
      </c>
      <c r="B69" t="s">
        <v>11</v>
      </c>
      <c r="C69" t="s">
        <v>12</v>
      </c>
      <c r="D69" t="s">
        <v>1</v>
      </c>
      <c r="E69" t="s">
        <v>21</v>
      </c>
      <c r="F69" t="s">
        <v>23</v>
      </c>
    </row>
    <row r="70" spans="1:6" x14ac:dyDescent="0.3">
      <c r="A70">
        <v>69</v>
      </c>
      <c r="B70" t="s">
        <v>14</v>
      </c>
      <c r="C70" t="s">
        <v>12</v>
      </c>
      <c r="D70" t="s">
        <v>22</v>
      </c>
      <c r="E70" t="s">
        <v>9</v>
      </c>
      <c r="F70" t="s">
        <v>23</v>
      </c>
    </row>
    <row r="71" spans="1:6" x14ac:dyDescent="0.3">
      <c r="A71">
        <v>70</v>
      </c>
      <c r="B71" t="s">
        <v>14</v>
      </c>
      <c r="C71" t="s">
        <v>24</v>
      </c>
      <c r="D71" t="s">
        <v>22</v>
      </c>
      <c r="E71" t="s">
        <v>15</v>
      </c>
      <c r="F71" t="s">
        <v>23</v>
      </c>
    </row>
    <row r="72" spans="1:6" x14ac:dyDescent="0.3">
      <c r="A72">
        <v>71</v>
      </c>
      <c r="B72" t="s">
        <v>6</v>
      </c>
      <c r="C72" t="s">
        <v>7</v>
      </c>
      <c r="D72" t="s">
        <v>22</v>
      </c>
      <c r="E72" t="s">
        <v>21</v>
      </c>
      <c r="F72" t="s">
        <v>20</v>
      </c>
    </row>
    <row r="73" spans="1:6" x14ac:dyDescent="0.3">
      <c r="A73">
        <v>72</v>
      </c>
      <c r="B73" t="s">
        <v>6</v>
      </c>
      <c r="C73" t="s">
        <v>24</v>
      </c>
      <c r="D73" t="s">
        <v>1</v>
      </c>
      <c r="E73" t="s">
        <v>15</v>
      </c>
      <c r="F73" t="s">
        <v>20</v>
      </c>
    </row>
    <row r="74" spans="1:6" x14ac:dyDescent="0.3">
      <c r="A74">
        <v>73</v>
      </c>
      <c r="B74" t="s">
        <v>14</v>
      </c>
      <c r="C74" t="s">
        <v>12</v>
      </c>
      <c r="D74" t="s">
        <v>22</v>
      </c>
      <c r="E74" t="s">
        <v>9</v>
      </c>
      <c r="F74" t="s">
        <v>20</v>
      </c>
    </row>
    <row r="75" spans="1:6" x14ac:dyDescent="0.3">
      <c r="A75">
        <v>74</v>
      </c>
      <c r="B75" t="s">
        <v>14</v>
      </c>
      <c r="C75" t="s">
        <v>12</v>
      </c>
      <c r="D75" t="s">
        <v>22</v>
      </c>
      <c r="E75" t="s">
        <v>21</v>
      </c>
      <c r="F75" t="s">
        <v>13</v>
      </c>
    </row>
    <row r="76" spans="1:6" x14ac:dyDescent="0.3">
      <c r="A76">
        <v>75</v>
      </c>
      <c r="B76" t="s">
        <v>6</v>
      </c>
      <c r="C76" t="s">
        <v>7</v>
      </c>
      <c r="D76" t="s">
        <v>22</v>
      </c>
      <c r="E76" t="s">
        <v>19</v>
      </c>
      <c r="F76" t="s">
        <v>10</v>
      </c>
    </row>
    <row r="77" spans="1:6" x14ac:dyDescent="0.3">
      <c r="A77">
        <v>76</v>
      </c>
      <c r="B77" t="s">
        <v>6</v>
      </c>
      <c r="C77" t="s">
        <v>7</v>
      </c>
      <c r="D77" t="s">
        <v>8</v>
      </c>
      <c r="E77" t="s">
        <v>19</v>
      </c>
      <c r="F77" t="s">
        <v>20</v>
      </c>
    </row>
    <row r="78" spans="1:6" x14ac:dyDescent="0.3">
      <c r="A78">
        <v>77</v>
      </c>
      <c r="B78" t="s">
        <v>16</v>
      </c>
      <c r="C78" t="s">
        <v>7</v>
      </c>
      <c r="D78" t="s">
        <v>22</v>
      </c>
      <c r="E78" t="s">
        <v>21</v>
      </c>
      <c r="F78" t="s">
        <v>23</v>
      </c>
    </row>
    <row r="79" spans="1:6" x14ac:dyDescent="0.3">
      <c r="A79">
        <v>78</v>
      </c>
      <c r="B79" t="s">
        <v>14</v>
      </c>
      <c r="C79" t="s">
        <v>7</v>
      </c>
      <c r="D79" t="s">
        <v>1</v>
      </c>
      <c r="E79" t="s">
        <v>21</v>
      </c>
      <c r="F79" t="s">
        <v>23</v>
      </c>
    </row>
    <row r="80" spans="1:6" x14ac:dyDescent="0.3">
      <c r="A80">
        <v>79</v>
      </c>
      <c r="B80" t="s">
        <v>18</v>
      </c>
      <c r="C80" t="s">
        <v>7</v>
      </c>
      <c r="D80" t="s">
        <v>22</v>
      </c>
      <c r="E80" t="s">
        <v>15</v>
      </c>
      <c r="F80" t="s">
        <v>13</v>
      </c>
    </row>
    <row r="81" spans="1:6" x14ac:dyDescent="0.3">
      <c r="A81">
        <v>80</v>
      </c>
      <c r="B81" t="s">
        <v>14</v>
      </c>
      <c r="C81" t="s">
        <v>7</v>
      </c>
      <c r="D81" t="s">
        <v>1</v>
      </c>
      <c r="E81" t="s">
        <v>21</v>
      </c>
      <c r="F81" t="s">
        <v>13</v>
      </c>
    </row>
    <row r="82" spans="1:6" x14ac:dyDescent="0.3">
      <c r="A82">
        <v>81</v>
      </c>
      <c r="B82" t="s">
        <v>25</v>
      </c>
      <c r="C82" t="s">
        <v>7</v>
      </c>
      <c r="D82" t="s">
        <v>22</v>
      </c>
      <c r="E82" t="s">
        <v>19</v>
      </c>
      <c r="F82" t="s">
        <v>10</v>
      </c>
    </row>
    <row r="83" spans="1:6" x14ac:dyDescent="0.3">
      <c r="A83">
        <v>82</v>
      </c>
      <c r="B83" t="s">
        <v>14</v>
      </c>
      <c r="C83" t="s">
        <v>7</v>
      </c>
      <c r="D83" t="s">
        <v>1</v>
      </c>
      <c r="E83" t="s">
        <v>21</v>
      </c>
      <c r="F83" t="s">
        <v>13</v>
      </c>
    </row>
    <row r="84" spans="1:6" x14ac:dyDescent="0.3">
      <c r="A84">
        <v>83</v>
      </c>
      <c r="B84" t="s">
        <v>14</v>
      </c>
      <c r="C84" t="s">
        <v>12</v>
      </c>
      <c r="D84" t="s">
        <v>22</v>
      </c>
      <c r="E84" t="s">
        <v>21</v>
      </c>
      <c r="F84" t="s">
        <v>20</v>
      </c>
    </row>
    <row r="85" spans="1:6" x14ac:dyDescent="0.3">
      <c r="A85">
        <v>84</v>
      </c>
      <c r="B85" t="s">
        <v>11</v>
      </c>
      <c r="C85" t="s">
        <v>12</v>
      </c>
      <c r="D85" t="s">
        <v>8</v>
      </c>
      <c r="E85" t="s">
        <v>9</v>
      </c>
      <c r="F85" t="s">
        <v>20</v>
      </c>
    </row>
    <row r="86" spans="1:6" x14ac:dyDescent="0.3">
      <c r="A86">
        <v>85</v>
      </c>
      <c r="B86" t="s">
        <v>25</v>
      </c>
      <c r="C86" t="s">
        <v>7</v>
      </c>
      <c r="D86" t="s">
        <v>1</v>
      </c>
      <c r="E86" t="s">
        <v>9</v>
      </c>
      <c r="F86" t="s">
        <v>10</v>
      </c>
    </row>
    <row r="87" spans="1:6" x14ac:dyDescent="0.3">
      <c r="A87">
        <v>86</v>
      </c>
      <c r="B87" t="s">
        <v>25</v>
      </c>
      <c r="C87" t="s">
        <v>12</v>
      </c>
      <c r="D87" t="s">
        <v>1</v>
      </c>
      <c r="E87" t="s">
        <v>21</v>
      </c>
      <c r="F87" t="s">
        <v>13</v>
      </c>
    </row>
    <row r="88" spans="1:6" x14ac:dyDescent="0.3">
      <c r="A88">
        <v>87</v>
      </c>
      <c r="B88" t="s">
        <v>16</v>
      </c>
      <c r="C88" t="s">
        <v>12</v>
      </c>
      <c r="D88" t="s">
        <v>8</v>
      </c>
      <c r="E88" t="s">
        <v>9</v>
      </c>
      <c r="F88" t="s">
        <v>23</v>
      </c>
    </row>
    <row r="89" spans="1:6" x14ac:dyDescent="0.3">
      <c r="A89">
        <v>88</v>
      </c>
      <c r="B89" t="s">
        <v>14</v>
      </c>
      <c r="C89" t="s">
        <v>7</v>
      </c>
      <c r="D89" t="s">
        <v>22</v>
      </c>
      <c r="E89" t="s">
        <v>9</v>
      </c>
      <c r="F89" t="s">
        <v>20</v>
      </c>
    </row>
    <row r="90" spans="1:6" x14ac:dyDescent="0.3">
      <c r="A90">
        <v>89</v>
      </c>
      <c r="B90" t="s">
        <v>6</v>
      </c>
      <c r="C90" t="s">
        <v>12</v>
      </c>
      <c r="D90" t="s">
        <v>22</v>
      </c>
      <c r="E90" t="s">
        <v>21</v>
      </c>
      <c r="F90" t="s">
        <v>20</v>
      </c>
    </row>
    <row r="91" spans="1:6" x14ac:dyDescent="0.3">
      <c r="A91">
        <v>90</v>
      </c>
      <c r="B91" t="s">
        <v>16</v>
      </c>
      <c r="C91" t="s">
        <v>12</v>
      </c>
      <c r="D91" t="s">
        <v>22</v>
      </c>
      <c r="E91" t="s">
        <v>21</v>
      </c>
      <c r="F91" t="s">
        <v>20</v>
      </c>
    </row>
    <row r="92" spans="1:6" x14ac:dyDescent="0.3">
      <c r="A92">
        <v>91</v>
      </c>
      <c r="B92" t="s">
        <v>14</v>
      </c>
      <c r="C92" t="s">
        <v>12</v>
      </c>
      <c r="D92" t="s">
        <v>1</v>
      </c>
      <c r="E92" t="s">
        <v>21</v>
      </c>
      <c r="F92" t="s">
        <v>23</v>
      </c>
    </row>
    <row r="93" spans="1:6" x14ac:dyDescent="0.3">
      <c r="A93">
        <v>92</v>
      </c>
      <c r="B93" t="s">
        <v>16</v>
      </c>
      <c r="C93" t="s">
        <v>7</v>
      </c>
      <c r="D93" t="s">
        <v>1</v>
      </c>
      <c r="E93" t="s">
        <v>21</v>
      </c>
      <c r="F93" t="s">
        <v>20</v>
      </c>
    </row>
    <row r="94" spans="1:6" x14ac:dyDescent="0.3">
      <c r="A94">
        <v>93</v>
      </c>
      <c r="B94" t="s">
        <v>16</v>
      </c>
      <c r="C94" t="s">
        <v>7</v>
      </c>
      <c r="D94" t="s">
        <v>8</v>
      </c>
      <c r="E94" t="s">
        <v>9</v>
      </c>
      <c r="F94" t="s">
        <v>10</v>
      </c>
    </row>
    <row r="95" spans="1:6" x14ac:dyDescent="0.3">
      <c r="A95">
        <v>94</v>
      </c>
      <c r="B95" t="s">
        <v>14</v>
      </c>
      <c r="C95" t="s">
        <v>12</v>
      </c>
      <c r="D95" t="s">
        <v>22</v>
      </c>
      <c r="E95" t="s">
        <v>9</v>
      </c>
      <c r="F95" t="s">
        <v>10</v>
      </c>
    </row>
    <row r="96" spans="1:6" x14ac:dyDescent="0.3">
      <c r="A96">
        <v>95</v>
      </c>
      <c r="B96" t="s">
        <v>25</v>
      </c>
      <c r="C96" t="s">
        <v>12</v>
      </c>
      <c r="D96" t="s">
        <v>1</v>
      </c>
      <c r="E96" t="s">
        <v>9</v>
      </c>
      <c r="F96" t="s">
        <v>23</v>
      </c>
    </row>
    <row r="97" spans="1:6" x14ac:dyDescent="0.3">
      <c r="A97">
        <v>96</v>
      </c>
      <c r="B97" t="s">
        <v>16</v>
      </c>
      <c r="C97" t="s">
        <v>24</v>
      </c>
      <c r="D97" t="s">
        <v>8</v>
      </c>
      <c r="E97" t="s">
        <v>15</v>
      </c>
      <c r="F97" t="s">
        <v>23</v>
      </c>
    </row>
    <row r="98" spans="1:6" x14ac:dyDescent="0.3">
      <c r="A98">
        <v>97</v>
      </c>
      <c r="B98" t="s">
        <v>16</v>
      </c>
      <c r="C98" t="s">
        <v>12</v>
      </c>
      <c r="D98" t="s">
        <v>8</v>
      </c>
      <c r="E98" t="s">
        <v>9</v>
      </c>
      <c r="F98" t="s">
        <v>13</v>
      </c>
    </row>
    <row r="99" spans="1:6" x14ac:dyDescent="0.3">
      <c r="A99">
        <v>98</v>
      </c>
      <c r="B99" t="s">
        <v>25</v>
      </c>
      <c r="C99" t="s">
        <v>12</v>
      </c>
      <c r="D99" t="s">
        <v>22</v>
      </c>
      <c r="E99" t="s">
        <v>17</v>
      </c>
      <c r="F99" t="s">
        <v>10</v>
      </c>
    </row>
    <row r="100" spans="1:6" x14ac:dyDescent="0.3">
      <c r="A100">
        <v>99</v>
      </c>
      <c r="B100" t="s">
        <v>25</v>
      </c>
      <c r="C100" t="s">
        <v>12</v>
      </c>
      <c r="D100" t="s">
        <v>1</v>
      </c>
      <c r="E100" t="s">
        <v>21</v>
      </c>
      <c r="F100" t="s">
        <v>23</v>
      </c>
    </row>
    <row r="101" spans="1:6" x14ac:dyDescent="0.3">
      <c r="A101">
        <v>100</v>
      </c>
      <c r="B101" t="s">
        <v>11</v>
      </c>
      <c r="C101" t="s">
        <v>7</v>
      </c>
      <c r="D101" t="s">
        <v>22</v>
      </c>
      <c r="E101" t="s">
        <v>9</v>
      </c>
      <c r="F101" t="s">
        <v>23</v>
      </c>
    </row>
    <row r="102" spans="1:6" x14ac:dyDescent="0.3">
      <c r="A102">
        <v>101</v>
      </c>
      <c r="B102" t="s">
        <v>14</v>
      </c>
      <c r="C102" t="s">
        <v>24</v>
      </c>
      <c r="D102" t="s">
        <v>8</v>
      </c>
      <c r="E102" t="s">
        <v>17</v>
      </c>
      <c r="F102" t="s">
        <v>10</v>
      </c>
    </row>
    <row r="103" spans="1:6" x14ac:dyDescent="0.3">
      <c r="A103">
        <v>102</v>
      </c>
      <c r="B103" t="s">
        <v>14</v>
      </c>
      <c r="C103" t="s">
        <v>7</v>
      </c>
      <c r="D103" t="s">
        <v>8</v>
      </c>
      <c r="E103" t="s">
        <v>9</v>
      </c>
      <c r="F103" t="s">
        <v>10</v>
      </c>
    </row>
    <row r="104" spans="1:6" x14ac:dyDescent="0.3">
      <c r="A104">
        <v>103</v>
      </c>
      <c r="B104" t="s">
        <v>6</v>
      </c>
      <c r="C104" t="s">
        <v>12</v>
      </c>
      <c r="D104" t="s">
        <v>1</v>
      </c>
      <c r="E104" t="s">
        <v>9</v>
      </c>
      <c r="F104" t="s">
        <v>23</v>
      </c>
    </row>
    <row r="105" spans="1:6" x14ac:dyDescent="0.3">
      <c r="A105">
        <v>104</v>
      </c>
      <c r="B105" t="s">
        <v>18</v>
      </c>
      <c r="C105" t="s">
        <v>7</v>
      </c>
      <c r="D105" t="s">
        <v>1</v>
      </c>
      <c r="E105" t="s">
        <v>15</v>
      </c>
      <c r="F105" t="s">
        <v>13</v>
      </c>
    </row>
    <row r="106" spans="1:6" x14ac:dyDescent="0.3">
      <c r="A106">
        <v>105</v>
      </c>
      <c r="B106" t="s">
        <v>14</v>
      </c>
      <c r="C106" t="s">
        <v>24</v>
      </c>
      <c r="D106" t="s">
        <v>22</v>
      </c>
      <c r="E106" t="s">
        <v>15</v>
      </c>
      <c r="F106" t="s">
        <v>20</v>
      </c>
    </row>
    <row r="107" spans="1:6" x14ac:dyDescent="0.3">
      <c r="A107">
        <v>106</v>
      </c>
      <c r="B107" t="s">
        <v>25</v>
      </c>
      <c r="C107" t="s">
        <v>12</v>
      </c>
      <c r="D107" t="s">
        <v>8</v>
      </c>
      <c r="E107" t="s">
        <v>9</v>
      </c>
      <c r="F107" t="s">
        <v>13</v>
      </c>
    </row>
    <row r="108" spans="1:6" x14ac:dyDescent="0.3">
      <c r="A108">
        <v>107</v>
      </c>
      <c r="B108" t="s">
        <v>14</v>
      </c>
      <c r="C108" t="s">
        <v>24</v>
      </c>
      <c r="D108" t="s">
        <v>8</v>
      </c>
      <c r="E108" t="s">
        <v>15</v>
      </c>
      <c r="F108" t="s">
        <v>23</v>
      </c>
    </row>
    <row r="109" spans="1:6" x14ac:dyDescent="0.3">
      <c r="A109">
        <v>108</v>
      </c>
      <c r="B109" t="s">
        <v>16</v>
      </c>
      <c r="C109" t="s">
        <v>12</v>
      </c>
      <c r="D109" t="s">
        <v>22</v>
      </c>
      <c r="E109" t="s">
        <v>21</v>
      </c>
      <c r="F109" t="s">
        <v>23</v>
      </c>
    </row>
    <row r="110" spans="1:6" x14ac:dyDescent="0.3">
      <c r="A110">
        <v>109</v>
      </c>
      <c r="B110" t="s">
        <v>18</v>
      </c>
      <c r="C110" t="s">
        <v>12</v>
      </c>
      <c r="D110" t="s">
        <v>1</v>
      </c>
      <c r="E110" t="s">
        <v>21</v>
      </c>
      <c r="F110" t="s">
        <v>13</v>
      </c>
    </row>
    <row r="111" spans="1:6" x14ac:dyDescent="0.3">
      <c r="A111">
        <v>110</v>
      </c>
      <c r="B111" t="s">
        <v>18</v>
      </c>
      <c r="C111" t="s">
        <v>7</v>
      </c>
      <c r="D111" t="s">
        <v>22</v>
      </c>
      <c r="E111" t="s">
        <v>21</v>
      </c>
      <c r="F111" t="s">
        <v>13</v>
      </c>
    </row>
    <row r="112" spans="1:6" x14ac:dyDescent="0.3">
      <c r="A112">
        <v>111</v>
      </c>
      <c r="B112" t="s">
        <v>6</v>
      </c>
      <c r="C112" t="s">
        <v>12</v>
      </c>
      <c r="D112" t="s">
        <v>1</v>
      </c>
      <c r="E112" t="s">
        <v>9</v>
      </c>
      <c r="F112" t="s">
        <v>23</v>
      </c>
    </row>
    <row r="113" spans="1:6" x14ac:dyDescent="0.3">
      <c r="A113">
        <v>112</v>
      </c>
      <c r="B113" t="s">
        <v>16</v>
      </c>
      <c r="C113" t="s">
        <v>12</v>
      </c>
      <c r="D113" t="s">
        <v>8</v>
      </c>
      <c r="E113" t="s">
        <v>9</v>
      </c>
      <c r="F113" t="s">
        <v>10</v>
      </c>
    </row>
    <row r="114" spans="1:6" x14ac:dyDescent="0.3">
      <c r="A114">
        <v>113</v>
      </c>
      <c r="B114" t="s">
        <v>6</v>
      </c>
      <c r="C114" t="s">
        <v>12</v>
      </c>
      <c r="D114" t="s">
        <v>1</v>
      </c>
      <c r="E114" t="s">
        <v>21</v>
      </c>
      <c r="F114" t="s">
        <v>20</v>
      </c>
    </row>
    <row r="115" spans="1:6" x14ac:dyDescent="0.3">
      <c r="A115">
        <v>114</v>
      </c>
      <c r="B115" t="s">
        <v>6</v>
      </c>
      <c r="C115" t="s">
        <v>7</v>
      </c>
      <c r="D115" t="s">
        <v>22</v>
      </c>
      <c r="E115" t="s">
        <v>9</v>
      </c>
      <c r="F115" t="s">
        <v>20</v>
      </c>
    </row>
    <row r="116" spans="1:6" x14ac:dyDescent="0.3">
      <c r="A116">
        <v>115</v>
      </c>
      <c r="B116" t="s">
        <v>25</v>
      </c>
      <c r="C116" t="s">
        <v>7</v>
      </c>
      <c r="D116" t="s">
        <v>8</v>
      </c>
      <c r="E116" t="s">
        <v>9</v>
      </c>
      <c r="F116" t="s">
        <v>10</v>
      </c>
    </row>
    <row r="117" spans="1:6" x14ac:dyDescent="0.3">
      <c r="A117">
        <v>116</v>
      </c>
      <c r="B117" t="s">
        <v>11</v>
      </c>
      <c r="C117" t="s">
        <v>12</v>
      </c>
      <c r="D117" t="s">
        <v>8</v>
      </c>
      <c r="E117" t="s">
        <v>9</v>
      </c>
      <c r="F117" t="s">
        <v>10</v>
      </c>
    </row>
    <row r="118" spans="1:6" x14ac:dyDescent="0.3">
      <c r="A118">
        <v>117</v>
      </c>
      <c r="B118" t="s">
        <v>6</v>
      </c>
      <c r="C118" t="s">
        <v>7</v>
      </c>
      <c r="D118" t="s">
        <v>22</v>
      </c>
      <c r="E118" t="s">
        <v>9</v>
      </c>
      <c r="F118" t="s">
        <v>23</v>
      </c>
    </row>
    <row r="119" spans="1:6" x14ac:dyDescent="0.3">
      <c r="A119">
        <v>118</v>
      </c>
      <c r="B119" t="s">
        <v>16</v>
      </c>
      <c r="C119" t="s">
        <v>7</v>
      </c>
      <c r="D119" t="s">
        <v>8</v>
      </c>
      <c r="E119" t="s">
        <v>9</v>
      </c>
      <c r="F119" t="s">
        <v>10</v>
      </c>
    </row>
    <row r="120" spans="1:6" x14ac:dyDescent="0.3">
      <c r="A120">
        <v>119</v>
      </c>
      <c r="B120" t="s">
        <v>11</v>
      </c>
      <c r="C120" t="s">
        <v>24</v>
      </c>
      <c r="D120" t="s">
        <v>22</v>
      </c>
      <c r="E120" t="s">
        <v>15</v>
      </c>
      <c r="F120" t="s">
        <v>13</v>
      </c>
    </row>
    <row r="121" spans="1:6" x14ac:dyDescent="0.3">
      <c r="A121">
        <v>120</v>
      </c>
      <c r="B121" t="s">
        <v>25</v>
      </c>
      <c r="C121" t="s">
        <v>12</v>
      </c>
      <c r="D121" t="s">
        <v>22</v>
      </c>
      <c r="E121" t="s">
        <v>9</v>
      </c>
      <c r="F121" t="s">
        <v>13</v>
      </c>
    </row>
    <row r="122" spans="1:6" x14ac:dyDescent="0.3">
      <c r="A122">
        <v>121</v>
      </c>
      <c r="B122" t="s">
        <v>14</v>
      </c>
      <c r="C122" t="s">
        <v>12</v>
      </c>
      <c r="D122" t="s">
        <v>22</v>
      </c>
      <c r="E122" t="s">
        <v>21</v>
      </c>
      <c r="F122" t="s">
        <v>13</v>
      </c>
    </row>
    <row r="123" spans="1:6" x14ac:dyDescent="0.3">
      <c r="A123">
        <v>122</v>
      </c>
      <c r="B123" t="s">
        <v>25</v>
      </c>
      <c r="C123" t="s">
        <v>7</v>
      </c>
      <c r="D123" t="s">
        <v>8</v>
      </c>
      <c r="E123" t="s">
        <v>19</v>
      </c>
      <c r="F123" t="s">
        <v>13</v>
      </c>
    </row>
    <row r="124" spans="1:6" x14ac:dyDescent="0.3">
      <c r="A124">
        <v>123</v>
      </c>
      <c r="B124" t="s">
        <v>25</v>
      </c>
      <c r="C124" t="s">
        <v>12</v>
      </c>
      <c r="D124" t="s">
        <v>8</v>
      </c>
      <c r="E124" t="s">
        <v>15</v>
      </c>
      <c r="F124" t="s">
        <v>23</v>
      </c>
    </row>
    <row r="125" spans="1:6" x14ac:dyDescent="0.3">
      <c r="A125">
        <v>124</v>
      </c>
      <c r="B125" t="s">
        <v>11</v>
      </c>
      <c r="C125" t="s">
        <v>12</v>
      </c>
      <c r="D125" t="s">
        <v>1</v>
      </c>
      <c r="E125" t="s">
        <v>21</v>
      </c>
      <c r="F125" t="s">
        <v>23</v>
      </c>
    </row>
    <row r="126" spans="1:6" x14ac:dyDescent="0.3">
      <c r="A126">
        <v>125</v>
      </c>
      <c r="B126" t="s">
        <v>14</v>
      </c>
      <c r="C126" t="s">
        <v>24</v>
      </c>
      <c r="D126" t="s">
        <v>1</v>
      </c>
      <c r="E126" t="s">
        <v>15</v>
      </c>
      <c r="F126" t="s">
        <v>20</v>
      </c>
    </row>
    <row r="127" spans="1:6" x14ac:dyDescent="0.3">
      <c r="A127">
        <v>126</v>
      </c>
      <c r="B127" t="s">
        <v>11</v>
      </c>
      <c r="C127" t="s">
        <v>12</v>
      </c>
      <c r="D127" t="s">
        <v>22</v>
      </c>
      <c r="E127" t="s">
        <v>9</v>
      </c>
      <c r="F127" t="s">
        <v>13</v>
      </c>
    </row>
    <row r="128" spans="1:6" x14ac:dyDescent="0.3">
      <c r="A128">
        <v>127</v>
      </c>
      <c r="B128" t="s">
        <v>18</v>
      </c>
      <c r="C128" t="s">
        <v>12</v>
      </c>
      <c r="D128" t="s">
        <v>22</v>
      </c>
      <c r="E128" t="s">
        <v>21</v>
      </c>
      <c r="F128" t="s">
        <v>13</v>
      </c>
    </row>
    <row r="129" spans="1:6" x14ac:dyDescent="0.3">
      <c r="A129">
        <v>128</v>
      </c>
      <c r="B129" t="s">
        <v>14</v>
      </c>
      <c r="C129" t="s">
        <v>7</v>
      </c>
      <c r="D129" t="s">
        <v>22</v>
      </c>
      <c r="E129" t="s">
        <v>9</v>
      </c>
      <c r="F129" t="s">
        <v>23</v>
      </c>
    </row>
    <row r="130" spans="1:6" x14ac:dyDescent="0.3">
      <c r="A130">
        <v>129</v>
      </c>
      <c r="B130" t="s">
        <v>18</v>
      </c>
      <c r="C130" t="s">
        <v>12</v>
      </c>
      <c r="D130" t="s">
        <v>22</v>
      </c>
      <c r="E130" t="s">
        <v>15</v>
      </c>
      <c r="F130" t="s">
        <v>23</v>
      </c>
    </row>
    <row r="131" spans="1:6" x14ac:dyDescent="0.3">
      <c r="A131">
        <v>130</v>
      </c>
      <c r="B131" t="s">
        <v>18</v>
      </c>
      <c r="C131" t="s">
        <v>7</v>
      </c>
      <c r="D131" t="s">
        <v>22</v>
      </c>
      <c r="E131" t="s">
        <v>17</v>
      </c>
      <c r="F131" t="s">
        <v>10</v>
      </c>
    </row>
    <row r="132" spans="1:6" x14ac:dyDescent="0.3">
      <c r="A132">
        <v>131</v>
      </c>
      <c r="B132" t="s">
        <v>25</v>
      </c>
      <c r="C132" t="s">
        <v>12</v>
      </c>
      <c r="D132" t="s">
        <v>22</v>
      </c>
      <c r="E132" t="s">
        <v>9</v>
      </c>
      <c r="F132" t="s">
        <v>23</v>
      </c>
    </row>
    <row r="133" spans="1:6" x14ac:dyDescent="0.3">
      <c r="A133">
        <v>132</v>
      </c>
      <c r="B133" t="s">
        <v>16</v>
      </c>
      <c r="C133" t="s">
        <v>12</v>
      </c>
      <c r="D133" t="s">
        <v>22</v>
      </c>
      <c r="E133" t="s">
        <v>21</v>
      </c>
      <c r="F133" t="s">
        <v>13</v>
      </c>
    </row>
    <row r="134" spans="1:6" x14ac:dyDescent="0.3">
      <c r="A134">
        <v>133</v>
      </c>
      <c r="B134" t="s">
        <v>25</v>
      </c>
      <c r="C134" t="s">
        <v>7</v>
      </c>
      <c r="D134" t="s">
        <v>22</v>
      </c>
      <c r="E134" t="s">
        <v>15</v>
      </c>
      <c r="F134" t="s">
        <v>13</v>
      </c>
    </row>
    <row r="135" spans="1:6" x14ac:dyDescent="0.3">
      <c r="A135">
        <v>134</v>
      </c>
      <c r="B135" t="s">
        <v>11</v>
      </c>
      <c r="C135" t="s">
        <v>12</v>
      </c>
      <c r="D135" t="s">
        <v>8</v>
      </c>
      <c r="E135" t="s">
        <v>9</v>
      </c>
      <c r="F135" t="s">
        <v>20</v>
      </c>
    </row>
    <row r="136" spans="1:6" x14ac:dyDescent="0.3">
      <c r="A136">
        <v>135</v>
      </c>
      <c r="B136" t="s">
        <v>14</v>
      </c>
      <c r="C136" t="s">
        <v>12</v>
      </c>
      <c r="D136" t="s">
        <v>8</v>
      </c>
      <c r="E136" t="s">
        <v>19</v>
      </c>
      <c r="F136" t="s">
        <v>13</v>
      </c>
    </row>
    <row r="137" spans="1:6" x14ac:dyDescent="0.3">
      <c r="A137">
        <v>136</v>
      </c>
      <c r="B137" t="s">
        <v>6</v>
      </c>
      <c r="C137" t="s">
        <v>7</v>
      </c>
      <c r="D137" t="s">
        <v>22</v>
      </c>
      <c r="E137" t="s">
        <v>15</v>
      </c>
      <c r="F137" t="s">
        <v>23</v>
      </c>
    </row>
    <row r="138" spans="1:6" x14ac:dyDescent="0.3">
      <c r="A138">
        <v>137</v>
      </c>
      <c r="B138" t="s">
        <v>25</v>
      </c>
      <c r="C138" t="s">
        <v>12</v>
      </c>
      <c r="D138" t="s">
        <v>1</v>
      </c>
      <c r="E138" t="s">
        <v>9</v>
      </c>
      <c r="F138" t="s">
        <v>13</v>
      </c>
    </row>
    <row r="139" spans="1:6" x14ac:dyDescent="0.3">
      <c r="A139">
        <v>138</v>
      </c>
      <c r="B139" t="s">
        <v>11</v>
      </c>
      <c r="C139" t="s">
        <v>12</v>
      </c>
      <c r="D139" t="s">
        <v>8</v>
      </c>
      <c r="E139" t="s">
        <v>19</v>
      </c>
      <c r="F139" t="s">
        <v>20</v>
      </c>
    </row>
    <row r="140" spans="1:6" x14ac:dyDescent="0.3">
      <c r="A140">
        <v>139</v>
      </c>
      <c r="B140" t="s">
        <v>11</v>
      </c>
      <c r="C140" t="s">
        <v>7</v>
      </c>
      <c r="D140" t="s">
        <v>22</v>
      </c>
      <c r="E140" t="s">
        <v>15</v>
      </c>
      <c r="F140" t="s">
        <v>13</v>
      </c>
    </row>
    <row r="141" spans="1:6" x14ac:dyDescent="0.3">
      <c r="A141">
        <v>140</v>
      </c>
      <c r="B141" t="s">
        <v>25</v>
      </c>
      <c r="C141" t="s">
        <v>12</v>
      </c>
      <c r="D141" t="s">
        <v>1</v>
      </c>
      <c r="E141" t="s">
        <v>21</v>
      </c>
      <c r="F141" t="s">
        <v>13</v>
      </c>
    </row>
    <row r="142" spans="1:6" x14ac:dyDescent="0.3">
      <c r="A142">
        <v>141</v>
      </c>
      <c r="B142" t="s">
        <v>6</v>
      </c>
      <c r="C142" t="s">
        <v>12</v>
      </c>
      <c r="D142" t="s">
        <v>22</v>
      </c>
      <c r="E142" t="s">
        <v>9</v>
      </c>
      <c r="F142" t="s">
        <v>13</v>
      </c>
    </row>
    <row r="143" spans="1:6" x14ac:dyDescent="0.3">
      <c r="A143">
        <v>142</v>
      </c>
      <c r="B143" t="s">
        <v>14</v>
      </c>
      <c r="C143" t="s">
        <v>12</v>
      </c>
      <c r="D143" t="s">
        <v>1</v>
      </c>
      <c r="E143" t="s">
        <v>17</v>
      </c>
      <c r="F143" t="s">
        <v>10</v>
      </c>
    </row>
    <row r="144" spans="1:6" x14ac:dyDescent="0.3">
      <c r="A144">
        <v>143</v>
      </c>
      <c r="B144" t="s">
        <v>18</v>
      </c>
      <c r="C144" t="s">
        <v>24</v>
      </c>
      <c r="D144" t="s">
        <v>8</v>
      </c>
      <c r="E144" t="s">
        <v>17</v>
      </c>
      <c r="F144" t="s">
        <v>10</v>
      </c>
    </row>
    <row r="145" spans="1:6" x14ac:dyDescent="0.3">
      <c r="A145">
        <v>144</v>
      </c>
      <c r="B145" t="s">
        <v>6</v>
      </c>
      <c r="C145" t="s">
        <v>12</v>
      </c>
      <c r="D145" t="s">
        <v>22</v>
      </c>
      <c r="E145" t="s">
        <v>21</v>
      </c>
      <c r="F145" t="s">
        <v>23</v>
      </c>
    </row>
    <row r="146" spans="1:6" x14ac:dyDescent="0.3">
      <c r="A146">
        <v>145</v>
      </c>
      <c r="B146" t="s">
        <v>11</v>
      </c>
      <c r="C146" t="s">
        <v>12</v>
      </c>
      <c r="D146" t="s">
        <v>22</v>
      </c>
      <c r="E146" t="s">
        <v>9</v>
      </c>
      <c r="F146" t="s">
        <v>13</v>
      </c>
    </row>
    <row r="147" spans="1:6" x14ac:dyDescent="0.3">
      <c r="A147">
        <v>146</v>
      </c>
      <c r="B147" t="s">
        <v>25</v>
      </c>
      <c r="C147" t="s">
        <v>12</v>
      </c>
      <c r="D147" t="s">
        <v>1</v>
      </c>
      <c r="E147" t="s">
        <v>19</v>
      </c>
      <c r="F147" t="s">
        <v>10</v>
      </c>
    </row>
    <row r="148" spans="1:6" x14ac:dyDescent="0.3">
      <c r="A148">
        <v>147</v>
      </c>
      <c r="B148" t="s">
        <v>14</v>
      </c>
      <c r="C148" t="s">
        <v>12</v>
      </c>
      <c r="D148" t="s">
        <v>8</v>
      </c>
      <c r="E148" t="s">
        <v>19</v>
      </c>
      <c r="F148" t="s">
        <v>23</v>
      </c>
    </row>
    <row r="149" spans="1:6" x14ac:dyDescent="0.3">
      <c r="A149">
        <v>148</v>
      </c>
      <c r="B149" t="s">
        <v>16</v>
      </c>
      <c r="C149" t="s">
        <v>7</v>
      </c>
      <c r="D149" t="s">
        <v>22</v>
      </c>
      <c r="E149" t="s">
        <v>21</v>
      </c>
      <c r="F149" t="s">
        <v>23</v>
      </c>
    </row>
    <row r="150" spans="1:6" x14ac:dyDescent="0.3">
      <c r="A150">
        <v>149</v>
      </c>
      <c r="B150" t="s">
        <v>6</v>
      </c>
      <c r="C150" t="s">
        <v>12</v>
      </c>
      <c r="D150" t="s">
        <v>8</v>
      </c>
      <c r="E150" t="s">
        <v>19</v>
      </c>
      <c r="F150" t="s">
        <v>10</v>
      </c>
    </row>
    <row r="151" spans="1:6" x14ac:dyDescent="0.3">
      <c r="A151">
        <v>150</v>
      </c>
      <c r="B151" t="s">
        <v>6</v>
      </c>
      <c r="C151" t="s">
        <v>12</v>
      </c>
      <c r="D151" t="s">
        <v>1</v>
      </c>
      <c r="E151" t="s">
        <v>21</v>
      </c>
      <c r="F151" t="s">
        <v>23</v>
      </c>
    </row>
    <row r="152" spans="1:6" x14ac:dyDescent="0.3">
      <c r="A152">
        <v>151</v>
      </c>
      <c r="B152" t="s">
        <v>18</v>
      </c>
      <c r="C152" t="s">
        <v>12</v>
      </c>
      <c r="D152" t="s">
        <v>22</v>
      </c>
      <c r="E152" t="s">
        <v>21</v>
      </c>
      <c r="F152" t="s">
        <v>13</v>
      </c>
    </row>
    <row r="153" spans="1:6" x14ac:dyDescent="0.3">
      <c r="A153">
        <v>152</v>
      </c>
      <c r="B153" t="s">
        <v>11</v>
      </c>
      <c r="C153" t="s">
        <v>7</v>
      </c>
      <c r="D153" t="s">
        <v>8</v>
      </c>
      <c r="E153" t="s">
        <v>19</v>
      </c>
      <c r="F153" t="s">
        <v>20</v>
      </c>
    </row>
    <row r="154" spans="1:6" x14ac:dyDescent="0.3">
      <c r="A154">
        <v>153</v>
      </c>
      <c r="B154" t="s">
        <v>18</v>
      </c>
      <c r="C154" t="s">
        <v>7</v>
      </c>
      <c r="D154" t="s">
        <v>8</v>
      </c>
      <c r="E154" t="s">
        <v>17</v>
      </c>
      <c r="F154" t="s">
        <v>10</v>
      </c>
    </row>
    <row r="155" spans="1:6" x14ac:dyDescent="0.3">
      <c r="A155">
        <v>154</v>
      </c>
      <c r="B155" t="s">
        <v>16</v>
      </c>
      <c r="C155" t="s">
        <v>12</v>
      </c>
      <c r="D155" t="s">
        <v>8</v>
      </c>
      <c r="E155" t="s">
        <v>19</v>
      </c>
      <c r="F155" t="s">
        <v>20</v>
      </c>
    </row>
    <row r="156" spans="1:6" x14ac:dyDescent="0.3">
      <c r="A156">
        <v>155</v>
      </c>
      <c r="B156" t="s">
        <v>25</v>
      </c>
      <c r="C156" t="s">
        <v>7</v>
      </c>
      <c r="D156" t="s">
        <v>8</v>
      </c>
      <c r="E156" t="s">
        <v>19</v>
      </c>
      <c r="F156" t="s">
        <v>23</v>
      </c>
    </row>
    <row r="157" spans="1:6" x14ac:dyDescent="0.3">
      <c r="A157">
        <v>156</v>
      </c>
      <c r="B157" t="s">
        <v>6</v>
      </c>
      <c r="C157" t="s">
        <v>7</v>
      </c>
      <c r="D157" t="s">
        <v>1</v>
      </c>
      <c r="E157" t="s">
        <v>17</v>
      </c>
      <c r="F157" t="s">
        <v>10</v>
      </c>
    </row>
    <row r="158" spans="1:6" x14ac:dyDescent="0.3">
      <c r="A158">
        <v>157</v>
      </c>
      <c r="B158" t="s">
        <v>11</v>
      </c>
      <c r="C158" t="s">
        <v>12</v>
      </c>
      <c r="D158" t="s">
        <v>22</v>
      </c>
      <c r="E158" t="s">
        <v>21</v>
      </c>
      <c r="F158" t="s">
        <v>13</v>
      </c>
    </row>
    <row r="159" spans="1:6" x14ac:dyDescent="0.3">
      <c r="A159">
        <v>158</v>
      </c>
      <c r="B159" t="s">
        <v>25</v>
      </c>
      <c r="C159" t="s">
        <v>12</v>
      </c>
      <c r="D159" t="s">
        <v>8</v>
      </c>
      <c r="E159" t="s">
        <v>19</v>
      </c>
      <c r="F159" t="s">
        <v>20</v>
      </c>
    </row>
    <row r="160" spans="1:6" x14ac:dyDescent="0.3">
      <c r="A160">
        <v>159</v>
      </c>
      <c r="B160" t="s">
        <v>11</v>
      </c>
      <c r="C160" t="s">
        <v>12</v>
      </c>
      <c r="D160" t="s">
        <v>1</v>
      </c>
      <c r="E160" t="s">
        <v>9</v>
      </c>
      <c r="F160" t="s">
        <v>20</v>
      </c>
    </row>
    <row r="161" spans="1:6" x14ac:dyDescent="0.3">
      <c r="A161">
        <v>160</v>
      </c>
      <c r="B161" t="s">
        <v>14</v>
      </c>
      <c r="C161" t="s">
        <v>12</v>
      </c>
      <c r="D161" t="s">
        <v>1</v>
      </c>
      <c r="E161" t="s">
        <v>21</v>
      </c>
      <c r="F161" t="s">
        <v>20</v>
      </c>
    </row>
    <row r="162" spans="1:6" x14ac:dyDescent="0.3">
      <c r="A162">
        <v>161</v>
      </c>
      <c r="B162" t="s">
        <v>14</v>
      </c>
      <c r="C162" t="s">
        <v>7</v>
      </c>
      <c r="D162" t="s">
        <v>1</v>
      </c>
      <c r="E162" t="s">
        <v>15</v>
      </c>
      <c r="F162" t="s">
        <v>20</v>
      </c>
    </row>
    <row r="163" spans="1:6" x14ac:dyDescent="0.3">
      <c r="A163">
        <v>162</v>
      </c>
      <c r="B163" t="s">
        <v>16</v>
      </c>
      <c r="C163" t="s">
        <v>24</v>
      </c>
      <c r="D163" t="s">
        <v>22</v>
      </c>
      <c r="E163" t="s">
        <v>17</v>
      </c>
      <c r="F163" t="s">
        <v>10</v>
      </c>
    </row>
    <row r="164" spans="1:6" x14ac:dyDescent="0.3">
      <c r="A164">
        <v>163</v>
      </c>
      <c r="B164" t="s">
        <v>16</v>
      </c>
      <c r="C164" t="s">
        <v>12</v>
      </c>
      <c r="D164" t="s">
        <v>22</v>
      </c>
      <c r="E164" t="s">
        <v>21</v>
      </c>
      <c r="F164" t="s">
        <v>13</v>
      </c>
    </row>
    <row r="165" spans="1:6" x14ac:dyDescent="0.3">
      <c r="A165">
        <v>164</v>
      </c>
      <c r="B165" t="s">
        <v>18</v>
      </c>
      <c r="C165" t="s">
        <v>12</v>
      </c>
      <c r="D165" t="s">
        <v>8</v>
      </c>
      <c r="E165" t="s">
        <v>15</v>
      </c>
      <c r="F165" t="s">
        <v>13</v>
      </c>
    </row>
    <row r="166" spans="1:6" x14ac:dyDescent="0.3">
      <c r="A166">
        <v>165</v>
      </c>
      <c r="B166" t="s">
        <v>25</v>
      </c>
      <c r="C166" t="s">
        <v>12</v>
      </c>
      <c r="D166" t="s">
        <v>22</v>
      </c>
      <c r="E166" t="s">
        <v>21</v>
      </c>
      <c r="F166" t="s">
        <v>23</v>
      </c>
    </row>
    <row r="167" spans="1:6" x14ac:dyDescent="0.3">
      <c r="A167">
        <v>166</v>
      </c>
      <c r="B167" t="s">
        <v>11</v>
      </c>
      <c r="C167" t="s">
        <v>12</v>
      </c>
      <c r="D167" t="s">
        <v>22</v>
      </c>
      <c r="E167" t="s">
        <v>21</v>
      </c>
      <c r="F167" t="s">
        <v>23</v>
      </c>
    </row>
    <row r="168" spans="1:6" x14ac:dyDescent="0.3">
      <c r="A168">
        <v>167</v>
      </c>
      <c r="B168" t="s">
        <v>11</v>
      </c>
      <c r="C168" t="s">
        <v>24</v>
      </c>
      <c r="D168" t="s">
        <v>1</v>
      </c>
      <c r="E168" t="s">
        <v>17</v>
      </c>
      <c r="F168" t="s">
        <v>10</v>
      </c>
    </row>
    <row r="169" spans="1:6" x14ac:dyDescent="0.3">
      <c r="A169">
        <v>168</v>
      </c>
      <c r="B169" t="s">
        <v>25</v>
      </c>
      <c r="C169" t="s">
        <v>24</v>
      </c>
      <c r="D169" t="s">
        <v>8</v>
      </c>
      <c r="E169" t="s">
        <v>15</v>
      </c>
      <c r="F169" t="s">
        <v>13</v>
      </c>
    </row>
    <row r="170" spans="1:6" x14ac:dyDescent="0.3">
      <c r="A170">
        <v>169</v>
      </c>
      <c r="B170" t="s">
        <v>25</v>
      </c>
      <c r="C170" t="s">
        <v>12</v>
      </c>
      <c r="D170" t="s">
        <v>8</v>
      </c>
      <c r="E170" t="s">
        <v>9</v>
      </c>
      <c r="F170" t="s">
        <v>10</v>
      </c>
    </row>
    <row r="171" spans="1:6" x14ac:dyDescent="0.3">
      <c r="A171">
        <v>170</v>
      </c>
      <c r="B171" t="s">
        <v>18</v>
      </c>
      <c r="C171" t="s">
        <v>7</v>
      </c>
      <c r="D171" t="s">
        <v>8</v>
      </c>
      <c r="E171" t="s">
        <v>19</v>
      </c>
      <c r="F171" t="s">
        <v>23</v>
      </c>
    </row>
    <row r="172" spans="1:6" x14ac:dyDescent="0.3">
      <c r="A172">
        <v>171</v>
      </c>
      <c r="B172" t="s">
        <v>18</v>
      </c>
      <c r="C172" t="s">
        <v>12</v>
      </c>
      <c r="D172" t="s">
        <v>22</v>
      </c>
      <c r="E172" t="s">
        <v>21</v>
      </c>
      <c r="F172" t="s">
        <v>20</v>
      </c>
    </row>
    <row r="173" spans="1:6" x14ac:dyDescent="0.3">
      <c r="A173">
        <v>172</v>
      </c>
      <c r="B173" t="s">
        <v>16</v>
      </c>
      <c r="C173" t="s">
        <v>12</v>
      </c>
      <c r="D173" t="s">
        <v>22</v>
      </c>
      <c r="E173" t="s">
        <v>9</v>
      </c>
      <c r="F173" t="s">
        <v>10</v>
      </c>
    </row>
    <row r="174" spans="1:6" x14ac:dyDescent="0.3">
      <c r="A174">
        <v>173</v>
      </c>
      <c r="B174" t="s">
        <v>16</v>
      </c>
      <c r="C174" t="s">
        <v>7</v>
      </c>
      <c r="D174" t="s">
        <v>8</v>
      </c>
      <c r="E174" t="s">
        <v>9</v>
      </c>
      <c r="F174" t="s">
        <v>10</v>
      </c>
    </row>
    <row r="175" spans="1:6" x14ac:dyDescent="0.3">
      <c r="A175">
        <v>174</v>
      </c>
      <c r="B175" t="s">
        <v>6</v>
      </c>
      <c r="C175" t="s">
        <v>12</v>
      </c>
      <c r="D175" t="s">
        <v>22</v>
      </c>
      <c r="E175" t="s">
        <v>9</v>
      </c>
      <c r="F175" t="s">
        <v>10</v>
      </c>
    </row>
    <row r="176" spans="1:6" x14ac:dyDescent="0.3">
      <c r="A176">
        <v>175</v>
      </c>
      <c r="B176" t="s">
        <v>6</v>
      </c>
      <c r="C176" t="s">
        <v>7</v>
      </c>
      <c r="D176" t="s">
        <v>8</v>
      </c>
      <c r="E176" t="s">
        <v>9</v>
      </c>
      <c r="F176" t="s">
        <v>10</v>
      </c>
    </row>
    <row r="177" spans="1:6" x14ac:dyDescent="0.3">
      <c r="A177">
        <v>176</v>
      </c>
      <c r="B177" t="s">
        <v>14</v>
      </c>
      <c r="C177" t="s">
        <v>12</v>
      </c>
      <c r="D177" t="s">
        <v>8</v>
      </c>
      <c r="E177" t="s">
        <v>9</v>
      </c>
      <c r="F177" t="s">
        <v>13</v>
      </c>
    </row>
    <row r="178" spans="1:6" x14ac:dyDescent="0.3">
      <c r="A178">
        <v>177</v>
      </c>
      <c r="B178" t="s">
        <v>16</v>
      </c>
      <c r="C178" t="s">
        <v>12</v>
      </c>
      <c r="D178" t="s">
        <v>8</v>
      </c>
      <c r="E178" t="s">
        <v>15</v>
      </c>
      <c r="F178" t="s">
        <v>23</v>
      </c>
    </row>
    <row r="179" spans="1:6" x14ac:dyDescent="0.3">
      <c r="A179">
        <v>178</v>
      </c>
      <c r="B179" t="s">
        <v>16</v>
      </c>
      <c r="C179" t="s">
        <v>12</v>
      </c>
      <c r="D179" t="s">
        <v>1</v>
      </c>
      <c r="E179" t="s">
        <v>9</v>
      </c>
      <c r="F179" t="s">
        <v>13</v>
      </c>
    </row>
    <row r="180" spans="1:6" x14ac:dyDescent="0.3">
      <c r="A180">
        <v>179</v>
      </c>
      <c r="B180" t="s">
        <v>14</v>
      </c>
      <c r="C180" t="s">
        <v>12</v>
      </c>
      <c r="D180" t="s">
        <v>22</v>
      </c>
      <c r="E180" t="s">
        <v>19</v>
      </c>
      <c r="F180" t="s">
        <v>10</v>
      </c>
    </row>
    <row r="181" spans="1:6" x14ac:dyDescent="0.3">
      <c r="A181">
        <v>180</v>
      </c>
      <c r="B181" t="s">
        <v>14</v>
      </c>
      <c r="C181" t="s">
        <v>7</v>
      </c>
      <c r="D181" t="s">
        <v>8</v>
      </c>
      <c r="E181" t="s">
        <v>9</v>
      </c>
      <c r="F181" t="s">
        <v>10</v>
      </c>
    </row>
    <row r="182" spans="1:6" x14ac:dyDescent="0.3">
      <c r="A182">
        <v>181</v>
      </c>
      <c r="B182" t="s">
        <v>25</v>
      </c>
      <c r="C182" t="s">
        <v>12</v>
      </c>
      <c r="D182" t="s">
        <v>1</v>
      </c>
      <c r="E182" t="s">
        <v>21</v>
      </c>
      <c r="F182" t="s">
        <v>20</v>
      </c>
    </row>
    <row r="183" spans="1:6" x14ac:dyDescent="0.3">
      <c r="A183">
        <v>182</v>
      </c>
      <c r="B183" t="s">
        <v>11</v>
      </c>
      <c r="C183" t="s">
        <v>7</v>
      </c>
      <c r="D183" t="s">
        <v>22</v>
      </c>
      <c r="E183" t="s">
        <v>9</v>
      </c>
      <c r="F183" t="s">
        <v>13</v>
      </c>
    </row>
    <row r="184" spans="1:6" x14ac:dyDescent="0.3">
      <c r="A184">
        <v>183</v>
      </c>
      <c r="B184" t="s">
        <v>14</v>
      </c>
      <c r="C184" t="s">
        <v>7</v>
      </c>
      <c r="D184" t="s">
        <v>22</v>
      </c>
      <c r="E184" t="s">
        <v>21</v>
      </c>
      <c r="F184" t="s">
        <v>23</v>
      </c>
    </row>
    <row r="185" spans="1:6" x14ac:dyDescent="0.3">
      <c r="A185">
        <v>184</v>
      </c>
      <c r="B185" t="s">
        <v>18</v>
      </c>
      <c r="C185" t="s">
        <v>12</v>
      </c>
      <c r="D185" t="s">
        <v>1</v>
      </c>
      <c r="E185" t="s">
        <v>21</v>
      </c>
      <c r="F185" t="s">
        <v>13</v>
      </c>
    </row>
    <row r="186" spans="1:6" x14ac:dyDescent="0.3">
      <c r="A186">
        <v>185</v>
      </c>
      <c r="B186" t="s">
        <v>25</v>
      </c>
      <c r="C186" t="s">
        <v>12</v>
      </c>
      <c r="D186" t="s">
        <v>1</v>
      </c>
      <c r="E186" t="s">
        <v>17</v>
      </c>
      <c r="F186" t="s">
        <v>10</v>
      </c>
    </row>
    <row r="187" spans="1:6" x14ac:dyDescent="0.3">
      <c r="A187">
        <v>186</v>
      </c>
      <c r="B187" t="s">
        <v>25</v>
      </c>
      <c r="C187" t="s">
        <v>12</v>
      </c>
      <c r="D187" t="s">
        <v>8</v>
      </c>
      <c r="E187" t="s">
        <v>19</v>
      </c>
      <c r="F187" t="s">
        <v>20</v>
      </c>
    </row>
    <row r="188" spans="1:6" x14ac:dyDescent="0.3">
      <c r="A188">
        <v>187</v>
      </c>
      <c r="B188" t="s">
        <v>6</v>
      </c>
      <c r="C188" t="s">
        <v>12</v>
      </c>
      <c r="D188" t="s">
        <v>8</v>
      </c>
      <c r="E188" t="s">
        <v>19</v>
      </c>
      <c r="F188" t="s">
        <v>13</v>
      </c>
    </row>
    <row r="189" spans="1:6" x14ac:dyDescent="0.3">
      <c r="A189">
        <v>188</v>
      </c>
      <c r="B189" t="s">
        <v>25</v>
      </c>
      <c r="C189" t="s">
        <v>12</v>
      </c>
      <c r="D189" t="s">
        <v>8</v>
      </c>
      <c r="E189" t="s">
        <v>17</v>
      </c>
      <c r="F189" t="s">
        <v>10</v>
      </c>
    </row>
    <row r="190" spans="1:6" x14ac:dyDescent="0.3">
      <c r="A190">
        <v>189</v>
      </c>
      <c r="B190" t="s">
        <v>6</v>
      </c>
      <c r="C190" t="s">
        <v>7</v>
      </c>
      <c r="D190" t="s">
        <v>8</v>
      </c>
      <c r="E190" t="s">
        <v>15</v>
      </c>
      <c r="F190" t="s">
        <v>13</v>
      </c>
    </row>
    <row r="191" spans="1:6" x14ac:dyDescent="0.3">
      <c r="A191">
        <v>190</v>
      </c>
      <c r="B191" t="s">
        <v>11</v>
      </c>
      <c r="C191" t="s">
        <v>7</v>
      </c>
      <c r="D191" t="s">
        <v>22</v>
      </c>
      <c r="E191" t="s">
        <v>19</v>
      </c>
      <c r="F191" t="s">
        <v>10</v>
      </c>
    </row>
    <row r="192" spans="1:6" x14ac:dyDescent="0.3">
      <c r="A192">
        <v>191</v>
      </c>
      <c r="B192" t="s">
        <v>18</v>
      </c>
      <c r="C192" t="s">
        <v>7</v>
      </c>
      <c r="D192" t="s">
        <v>8</v>
      </c>
      <c r="E192" t="s">
        <v>19</v>
      </c>
      <c r="F192" t="s">
        <v>10</v>
      </c>
    </row>
    <row r="193" spans="1:6" x14ac:dyDescent="0.3">
      <c r="A193">
        <v>192</v>
      </c>
      <c r="B193" t="s">
        <v>16</v>
      </c>
      <c r="C193" t="s">
        <v>12</v>
      </c>
      <c r="D193" t="s">
        <v>22</v>
      </c>
      <c r="E193" t="s">
        <v>21</v>
      </c>
      <c r="F193" t="s">
        <v>20</v>
      </c>
    </row>
    <row r="194" spans="1:6" x14ac:dyDescent="0.3">
      <c r="A194">
        <v>193</v>
      </c>
      <c r="B194" t="s">
        <v>16</v>
      </c>
      <c r="C194" t="s">
        <v>7</v>
      </c>
      <c r="D194" t="s">
        <v>8</v>
      </c>
      <c r="E194" t="s">
        <v>19</v>
      </c>
      <c r="F194" t="s">
        <v>13</v>
      </c>
    </row>
    <row r="195" spans="1:6" x14ac:dyDescent="0.3">
      <c r="A195">
        <v>194</v>
      </c>
      <c r="B195" t="s">
        <v>16</v>
      </c>
      <c r="C195" t="s">
        <v>12</v>
      </c>
      <c r="D195" t="s">
        <v>8</v>
      </c>
      <c r="E195" t="s">
        <v>15</v>
      </c>
      <c r="F195" t="s">
        <v>20</v>
      </c>
    </row>
    <row r="196" spans="1:6" x14ac:dyDescent="0.3">
      <c r="A196">
        <v>195</v>
      </c>
      <c r="B196" t="s">
        <v>6</v>
      </c>
      <c r="C196" t="s">
        <v>24</v>
      </c>
      <c r="D196" t="s">
        <v>1</v>
      </c>
      <c r="E196" t="s">
        <v>15</v>
      </c>
      <c r="F196" t="s">
        <v>23</v>
      </c>
    </row>
    <row r="197" spans="1:6" x14ac:dyDescent="0.3">
      <c r="A197">
        <v>196</v>
      </c>
      <c r="B197" t="s">
        <v>11</v>
      </c>
      <c r="C197" t="s">
        <v>7</v>
      </c>
      <c r="D197" t="s">
        <v>22</v>
      </c>
      <c r="E197" t="s">
        <v>21</v>
      </c>
      <c r="F197" t="s">
        <v>23</v>
      </c>
    </row>
    <row r="198" spans="1:6" x14ac:dyDescent="0.3">
      <c r="A198">
        <v>197</v>
      </c>
      <c r="B198" t="s">
        <v>16</v>
      </c>
      <c r="C198" t="s">
        <v>12</v>
      </c>
      <c r="D198" t="s">
        <v>1</v>
      </c>
      <c r="E198" t="s">
        <v>9</v>
      </c>
      <c r="F198" t="s">
        <v>10</v>
      </c>
    </row>
    <row r="199" spans="1:6" x14ac:dyDescent="0.3">
      <c r="A199">
        <v>198</v>
      </c>
      <c r="B199" t="s">
        <v>14</v>
      </c>
      <c r="C199" t="s">
        <v>12</v>
      </c>
      <c r="D199" t="s">
        <v>22</v>
      </c>
      <c r="E199" t="s">
        <v>19</v>
      </c>
      <c r="F199" t="s">
        <v>10</v>
      </c>
    </row>
    <row r="200" spans="1:6" x14ac:dyDescent="0.3">
      <c r="A200">
        <v>199</v>
      </c>
      <c r="B200" t="s">
        <v>18</v>
      </c>
      <c r="C200" t="s">
        <v>7</v>
      </c>
      <c r="D200" t="s">
        <v>8</v>
      </c>
      <c r="E200" t="s">
        <v>19</v>
      </c>
      <c r="F200" t="s">
        <v>20</v>
      </c>
    </row>
    <row r="201" spans="1:6" x14ac:dyDescent="0.3">
      <c r="A201">
        <v>200</v>
      </c>
      <c r="B201" t="s">
        <v>14</v>
      </c>
      <c r="C201" t="s">
        <v>7</v>
      </c>
      <c r="D201" t="s">
        <v>8</v>
      </c>
      <c r="E201" t="s">
        <v>15</v>
      </c>
      <c r="F201" t="s">
        <v>13</v>
      </c>
    </row>
    <row r="202" spans="1:6" x14ac:dyDescent="0.3">
      <c r="A202">
        <v>201</v>
      </c>
      <c r="B202" t="s">
        <v>16</v>
      </c>
      <c r="C202" t="s">
        <v>12</v>
      </c>
      <c r="D202" t="s">
        <v>8</v>
      </c>
      <c r="E202" t="s">
        <v>15</v>
      </c>
      <c r="F202" t="s">
        <v>23</v>
      </c>
    </row>
    <row r="203" spans="1:6" x14ac:dyDescent="0.3">
      <c r="A203">
        <v>202</v>
      </c>
      <c r="B203" t="s">
        <v>16</v>
      </c>
      <c r="C203" t="s">
        <v>7</v>
      </c>
      <c r="D203" t="s">
        <v>1</v>
      </c>
      <c r="E203" t="s">
        <v>21</v>
      </c>
      <c r="F203" t="s">
        <v>23</v>
      </c>
    </row>
    <row r="204" spans="1:6" x14ac:dyDescent="0.3">
      <c r="A204">
        <v>203</v>
      </c>
      <c r="B204" t="s">
        <v>6</v>
      </c>
      <c r="C204" t="s">
        <v>12</v>
      </c>
      <c r="D204" t="s">
        <v>22</v>
      </c>
      <c r="E204" t="s">
        <v>15</v>
      </c>
      <c r="F204" t="s">
        <v>13</v>
      </c>
    </row>
    <row r="205" spans="1:6" x14ac:dyDescent="0.3">
      <c r="A205">
        <v>204</v>
      </c>
      <c r="B205" t="s">
        <v>25</v>
      </c>
      <c r="C205" t="s">
        <v>7</v>
      </c>
      <c r="D205" t="s">
        <v>1</v>
      </c>
      <c r="E205" t="s">
        <v>9</v>
      </c>
      <c r="F205" t="s">
        <v>10</v>
      </c>
    </row>
    <row r="206" spans="1:6" x14ac:dyDescent="0.3">
      <c r="A206">
        <v>205</v>
      </c>
      <c r="B206" t="s">
        <v>16</v>
      </c>
      <c r="C206" t="s">
        <v>12</v>
      </c>
      <c r="D206" t="s">
        <v>1</v>
      </c>
      <c r="E206" t="s">
        <v>21</v>
      </c>
      <c r="F206" t="s">
        <v>13</v>
      </c>
    </row>
    <row r="207" spans="1:6" x14ac:dyDescent="0.3">
      <c r="A207">
        <v>206</v>
      </c>
      <c r="B207" t="s">
        <v>6</v>
      </c>
      <c r="C207" t="s">
        <v>12</v>
      </c>
      <c r="D207" t="s">
        <v>22</v>
      </c>
      <c r="E207" t="s">
        <v>17</v>
      </c>
      <c r="F207" t="s">
        <v>10</v>
      </c>
    </row>
    <row r="208" spans="1:6" x14ac:dyDescent="0.3">
      <c r="A208">
        <v>207</v>
      </c>
      <c r="B208" t="s">
        <v>18</v>
      </c>
      <c r="C208" t="s">
        <v>24</v>
      </c>
      <c r="D208" t="s">
        <v>1</v>
      </c>
      <c r="E208" t="s">
        <v>17</v>
      </c>
      <c r="F208" t="s">
        <v>10</v>
      </c>
    </row>
    <row r="209" spans="1:6" x14ac:dyDescent="0.3">
      <c r="A209">
        <v>208</v>
      </c>
      <c r="B209" t="s">
        <v>14</v>
      </c>
      <c r="C209" t="s">
        <v>12</v>
      </c>
      <c r="D209" t="s">
        <v>22</v>
      </c>
      <c r="E209" t="s">
        <v>17</v>
      </c>
      <c r="F209" t="s">
        <v>10</v>
      </c>
    </row>
    <row r="210" spans="1:6" x14ac:dyDescent="0.3">
      <c r="A210">
        <v>209</v>
      </c>
      <c r="B210" t="s">
        <v>25</v>
      </c>
      <c r="C210" t="s">
        <v>7</v>
      </c>
      <c r="D210" t="s">
        <v>22</v>
      </c>
      <c r="E210" t="s">
        <v>9</v>
      </c>
      <c r="F210" t="s">
        <v>10</v>
      </c>
    </row>
    <row r="211" spans="1:6" x14ac:dyDescent="0.3">
      <c r="A211">
        <v>210</v>
      </c>
      <c r="B211" t="s">
        <v>14</v>
      </c>
      <c r="C211" t="s">
        <v>12</v>
      </c>
      <c r="D211" t="s">
        <v>8</v>
      </c>
      <c r="E211" t="s">
        <v>9</v>
      </c>
      <c r="F211" t="s">
        <v>10</v>
      </c>
    </row>
    <row r="212" spans="1:6" x14ac:dyDescent="0.3">
      <c r="A212">
        <v>211</v>
      </c>
      <c r="B212" t="s">
        <v>25</v>
      </c>
      <c r="C212" t="s">
        <v>7</v>
      </c>
      <c r="D212" t="s">
        <v>1</v>
      </c>
      <c r="E212" t="s">
        <v>21</v>
      </c>
      <c r="F212" t="s">
        <v>13</v>
      </c>
    </row>
    <row r="213" spans="1:6" x14ac:dyDescent="0.3">
      <c r="A213">
        <v>212</v>
      </c>
      <c r="B213" t="s">
        <v>6</v>
      </c>
      <c r="C213" t="s">
        <v>7</v>
      </c>
      <c r="D213" t="s">
        <v>1</v>
      </c>
      <c r="E213" t="s">
        <v>15</v>
      </c>
      <c r="F213" t="s">
        <v>13</v>
      </c>
    </row>
    <row r="214" spans="1:6" x14ac:dyDescent="0.3">
      <c r="A214">
        <v>213</v>
      </c>
      <c r="B214" t="s">
        <v>16</v>
      </c>
      <c r="C214" t="s">
        <v>12</v>
      </c>
      <c r="D214" t="s">
        <v>8</v>
      </c>
      <c r="E214" t="s">
        <v>9</v>
      </c>
      <c r="F214" t="s">
        <v>10</v>
      </c>
    </row>
    <row r="215" spans="1:6" x14ac:dyDescent="0.3">
      <c r="A215">
        <v>214</v>
      </c>
      <c r="B215" t="s">
        <v>14</v>
      </c>
      <c r="C215" t="s">
        <v>12</v>
      </c>
      <c r="D215" t="s">
        <v>8</v>
      </c>
      <c r="E215" t="s">
        <v>19</v>
      </c>
      <c r="F215" t="s">
        <v>20</v>
      </c>
    </row>
    <row r="216" spans="1:6" x14ac:dyDescent="0.3">
      <c r="A216">
        <v>215</v>
      </c>
      <c r="B216" t="s">
        <v>16</v>
      </c>
      <c r="C216" t="s">
        <v>7</v>
      </c>
      <c r="D216" t="s">
        <v>1</v>
      </c>
      <c r="E216" t="s">
        <v>21</v>
      </c>
      <c r="F216" t="s">
        <v>23</v>
      </c>
    </row>
    <row r="217" spans="1:6" x14ac:dyDescent="0.3">
      <c r="A217">
        <v>216</v>
      </c>
      <c r="B217" t="s">
        <v>18</v>
      </c>
      <c r="C217" t="s">
        <v>7</v>
      </c>
      <c r="D217" t="s">
        <v>22</v>
      </c>
      <c r="E217" t="s">
        <v>21</v>
      </c>
      <c r="F217" t="s">
        <v>13</v>
      </c>
    </row>
    <row r="218" spans="1:6" x14ac:dyDescent="0.3">
      <c r="A218">
        <v>217</v>
      </c>
      <c r="B218" t="s">
        <v>18</v>
      </c>
      <c r="C218" t="s">
        <v>12</v>
      </c>
      <c r="D218" t="s">
        <v>8</v>
      </c>
      <c r="E218" t="s">
        <v>19</v>
      </c>
      <c r="F218" t="s">
        <v>10</v>
      </c>
    </row>
    <row r="219" spans="1:6" x14ac:dyDescent="0.3">
      <c r="A219">
        <v>218</v>
      </c>
      <c r="B219" t="s">
        <v>18</v>
      </c>
      <c r="C219" t="s">
        <v>7</v>
      </c>
      <c r="D219" t="s">
        <v>1</v>
      </c>
      <c r="E219" t="s">
        <v>21</v>
      </c>
      <c r="F219" t="s">
        <v>20</v>
      </c>
    </row>
    <row r="220" spans="1:6" x14ac:dyDescent="0.3">
      <c r="A220">
        <v>219</v>
      </c>
      <c r="B220" t="s">
        <v>6</v>
      </c>
      <c r="C220" t="s">
        <v>12</v>
      </c>
      <c r="D220" t="s">
        <v>1</v>
      </c>
      <c r="E220" t="s">
        <v>9</v>
      </c>
      <c r="F220" t="s">
        <v>23</v>
      </c>
    </row>
    <row r="221" spans="1:6" x14ac:dyDescent="0.3">
      <c r="A221">
        <v>220</v>
      </c>
      <c r="B221" t="s">
        <v>18</v>
      </c>
      <c r="C221" t="s">
        <v>12</v>
      </c>
      <c r="D221" t="s">
        <v>1</v>
      </c>
      <c r="E221" t="s">
        <v>21</v>
      </c>
      <c r="F221" t="s">
        <v>23</v>
      </c>
    </row>
    <row r="222" spans="1:6" x14ac:dyDescent="0.3">
      <c r="A222">
        <v>221</v>
      </c>
      <c r="B222" t="s">
        <v>11</v>
      </c>
      <c r="C222" t="s">
        <v>12</v>
      </c>
      <c r="D222" t="s">
        <v>8</v>
      </c>
      <c r="E222" t="s">
        <v>9</v>
      </c>
      <c r="F222" t="s">
        <v>10</v>
      </c>
    </row>
    <row r="223" spans="1:6" x14ac:dyDescent="0.3">
      <c r="A223">
        <v>222</v>
      </c>
      <c r="B223" t="s">
        <v>25</v>
      </c>
      <c r="C223" t="s">
        <v>12</v>
      </c>
      <c r="D223" t="s">
        <v>8</v>
      </c>
      <c r="E223" t="s">
        <v>19</v>
      </c>
      <c r="F223" t="s">
        <v>13</v>
      </c>
    </row>
    <row r="224" spans="1:6" x14ac:dyDescent="0.3">
      <c r="A224">
        <v>223</v>
      </c>
      <c r="B224" t="s">
        <v>14</v>
      </c>
      <c r="C224" t="s">
        <v>12</v>
      </c>
      <c r="D224" t="s">
        <v>8</v>
      </c>
      <c r="E224" t="s">
        <v>9</v>
      </c>
      <c r="F224" t="s">
        <v>13</v>
      </c>
    </row>
    <row r="225" spans="1:6" x14ac:dyDescent="0.3">
      <c r="A225">
        <v>224</v>
      </c>
      <c r="B225" t="s">
        <v>25</v>
      </c>
      <c r="C225" t="s">
        <v>12</v>
      </c>
      <c r="D225" t="s">
        <v>1</v>
      </c>
      <c r="E225" t="s">
        <v>15</v>
      </c>
      <c r="F225" t="s">
        <v>20</v>
      </c>
    </row>
    <row r="226" spans="1:6" x14ac:dyDescent="0.3">
      <c r="A226">
        <v>225</v>
      </c>
      <c r="B226" t="s">
        <v>11</v>
      </c>
      <c r="C226" t="s">
        <v>12</v>
      </c>
      <c r="D226" t="s">
        <v>22</v>
      </c>
      <c r="E226" t="s">
        <v>21</v>
      </c>
      <c r="F226" t="s">
        <v>23</v>
      </c>
    </row>
    <row r="227" spans="1:6" x14ac:dyDescent="0.3">
      <c r="A227">
        <v>226</v>
      </c>
      <c r="B227" t="s">
        <v>25</v>
      </c>
      <c r="C227" t="s">
        <v>7</v>
      </c>
      <c r="D227" t="s">
        <v>22</v>
      </c>
      <c r="E227" t="s">
        <v>15</v>
      </c>
      <c r="F227" t="s">
        <v>13</v>
      </c>
    </row>
    <row r="228" spans="1:6" x14ac:dyDescent="0.3">
      <c r="A228">
        <v>227</v>
      </c>
      <c r="B228" t="s">
        <v>18</v>
      </c>
      <c r="C228" t="s">
        <v>12</v>
      </c>
      <c r="D228" t="s">
        <v>1</v>
      </c>
      <c r="E228" t="s">
        <v>15</v>
      </c>
      <c r="F228" t="s">
        <v>13</v>
      </c>
    </row>
    <row r="229" spans="1:6" x14ac:dyDescent="0.3">
      <c r="A229">
        <v>228</v>
      </c>
      <c r="B229" t="s">
        <v>25</v>
      </c>
      <c r="C229" t="s">
        <v>24</v>
      </c>
      <c r="D229" t="s">
        <v>8</v>
      </c>
      <c r="E229" t="s">
        <v>15</v>
      </c>
      <c r="F229" t="s">
        <v>20</v>
      </c>
    </row>
    <row r="230" spans="1:6" x14ac:dyDescent="0.3">
      <c r="A230">
        <v>229</v>
      </c>
      <c r="B230" t="s">
        <v>18</v>
      </c>
      <c r="C230" t="s">
        <v>7</v>
      </c>
      <c r="D230" t="s">
        <v>8</v>
      </c>
      <c r="E230" t="s">
        <v>19</v>
      </c>
      <c r="F230" t="s">
        <v>23</v>
      </c>
    </row>
    <row r="231" spans="1:6" x14ac:dyDescent="0.3">
      <c r="A231">
        <v>230</v>
      </c>
      <c r="B231" t="s">
        <v>25</v>
      </c>
      <c r="C231" t="s">
        <v>12</v>
      </c>
      <c r="D231" t="s">
        <v>8</v>
      </c>
      <c r="E231" t="s">
        <v>9</v>
      </c>
      <c r="F231" t="s">
        <v>10</v>
      </c>
    </row>
    <row r="232" spans="1:6" x14ac:dyDescent="0.3">
      <c r="A232">
        <v>231</v>
      </c>
      <c r="B232" t="s">
        <v>16</v>
      </c>
      <c r="C232" t="s">
        <v>12</v>
      </c>
      <c r="D232" t="s">
        <v>22</v>
      </c>
      <c r="E232" t="s">
        <v>19</v>
      </c>
      <c r="F232" t="s">
        <v>10</v>
      </c>
    </row>
    <row r="233" spans="1:6" x14ac:dyDescent="0.3">
      <c r="A233">
        <v>232</v>
      </c>
      <c r="B233" t="s">
        <v>6</v>
      </c>
      <c r="C233" t="s">
        <v>7</v>
      </c>
      <c r="D233" t="s">
        <v>22</v>
      </c>
      <c r="E233" t="s">
        <v>15</v>
      </c>
      <c r="F233" t="s">
        <v>13</v>
      </c>
    </row>
    <row r="234" spans="1:6" x14ac:dyDescent="0.3">
      <c r="A234">
        <v>233</v>
      </c>
      <c r="B234" t="s">
        <v>11</v>
      </c>
      <c r="C234" t="s">
        <v>24</v>
      </c>
      <c r="D234" t="s">
        <v>1</v>
      </c>
      <c r="E234" t="s">
        <v>15</v>
      </c>
      <c r="F234" t="s">
        <v>13</v>
      </c>
    </row>
    <row r="235" spans="1:6" x14ac:dyDescent="0.3">
      <c r="A235">
        <v>234</v>
      </c>
      <c r="B235" t="s">
        <v>11</v>
      </c>
      <c r="C235" t="s">
        <v>12</v>
      </c>
      <c r="D235" t="s">
        <v>22</v>
      </c>
      <c r="E235" t="s">
        <v>15</v>
      </c>
      <c r="F235" t="s">
        <v>13</v>
      </c>
    </row>
    <row r="236" spans="1:6" x14ac:dyDescent="0.3">
      <c r="A236">
        <v>235</v>
      </c>
      <c r="B236" t="s">
        <v>25</v>
      </c>
      <c r="C236" t="s">
        <v>7</v>
      </c>
      <c r="D236" t="s">
        <v>8</v>
      </c>
      <c r="E236" t="s">
        <v>15</v>
      </c>
      <c r="F236" t="s">
        <v>20</v>
      </c>
    </row>
    <row r="237" spans="1:6" x14ac:dyDescent="0.3">
      <c r="A237">
        <v>236</v>
      </c>
      <c r="B237" t="s">
        <v>6</v>
      </c>
      <c r="C237" t="s">
        <v>7</v>
      </c>
      <c r="D237" t="s">
        <v>22</v>
      </c>
      <c r="E237" t="s">
        <v>19</v>
      </c>
      <c r="F237" t="s">
        <v>10</v>
      </c>
    </row>
    <row r="238" spans="1:6" x14ac:dyDescent="0.3">
      <c r="A238">
        <v>237</v>
      </c>
      <c r="B238" t="s">
        <v>16</v>
      </c>
      <c r="C238" t="s">
        <v>12</v>
      </c>
      <c r="D238" t="s">
        <v>8</v>
      </c>
      <c r="E238" t="s">
        <v>9</v>
      </c>
      <c r="F238" t="s">
        <v>10</v>
      </c>
    </row>
    <row r="239" spans="1:6" x14ac:dyDescent="0.3">
      <c r="A239">
        <v>238</v>
      </c>
      <c r="B239" t="s">
        <v>6</v>
      </c>
      <c r="C239" t="s">
        <v>12</v>
      </c>
      <c r="D239" t="s">
        <v>8</v>
      </c>
      <c r="E239" t="s">
        <v>9</v>
      </c>
      <c r="F239" t="s">
        <v>10</v>
      </c>
    </row>
    <row r="240" spans="1:6" x14ac:dyDescent="0.3">
      <c r="A240">
        <v>239</v>
      </c>
      <c r="B240" t="s">
        <v>25</v>
      </c>
      <c r="C240" t="s">
        <v>7</v>
      </c>
      <c r="D240" t="s">
        <v>1</v>
      </c>
      <c r="E240" t="s">
        <v>9</v>
      </c>
      <c r="F240" t="s">
        <v>13</v>
      </c>
    </row>
    <row r="241" spans="1:6" x14ac:dyDescent="0.3">
      <c r="A241">
        <v>240</v>
      </c>
      <c r="B241" t="s">
        <v>16</v>
      </c>
      <c r="C241" t="s">
        <v>12</v>
      </c>
      <c r="D241" t="s">
        <v>1</v>
      </c>
      <c r="E241" t="s">
        <v>21</v>
      </c>
      <c r="F241" t="s">
        <v>20</v>
      </c>
    </row>
    <row r="242" spans="1:6" x14ac:dyDescent="0.3">
      <c r="A242">
        <v>241</v>
      </c>
      <c r="B242" t="s">
        <v>25</v>
      </c>
      <c r="C242" t="s">
        <v>7</v>
      </c>
      <c r="D242" t="s">
        <v>1</v>
      </c>
      <c r="E242" t="s">
        <v>21</v>
      </c>
      <c r="F242" t="s">
        <v>23</v>
      </c>
    </row>
    <row r="243" spans="1:6" x14ac:dyDescent="0.3">
      <c r="A243">
        <v>242</v>
      </c>
      <c r="B243" t="s">
        <v>6</v>
      </c>
      <c r="C243" t="s">
        <v>7</v>
      </c>
      <c r="D243" t="s">
        <v>1</v>
      </c>
      <c r="E243" t="s">
        <v>21</v>
      </c>
      <c r="F243" t="s">
        <v>13</v>
      </c>
    </row>
    <row r="244" spans="1:6" x14ac:dyDescent="0.3">
      <c r="A244">
        <v>243</v>
      </c>
      <c r="B244" t="s">
        <v>18</v>
      </c>
      <c r="C244" t="s">
        <v>7</v>
      </c>
      <c r="D244" t="s">
        <v>8</v>
      </c>
      <c r="E244" t="s">
        <v>9</v>
      </c>
      <c r="F244" t="s">
        <v>23</v>
      </c>
    </row>
    <row r="245" spans="1:6" x14ac:dyDescent="0.3">
      <c r="A245">
        <v>244</v>
      </c>
      <c r="B245" t="s">
        <v>11</v>
      </c>
      <c r="C245" t="s">
        <v>12</v>
      </c>
      <c r="D245" t="s">
        <v>8</v>
      </c>
      <c r="E245" t="s">
        <v>19</v>
      </c>
      <c r="F245" t="s">
        <v>23</v>
      </c>
    </row>
    <row r="246" spans="1:6" x14ac:dyDescent="0.3">
      <c r="A246">
        <v>245</v>
      </c>
      <c r="B246" t="s">
        <v>16</v>
      </c>
      <c r="C246" t="s">
        <v>12</v>
      </c>
      <c r="D246" t="s">
        <v>1</v>
      </c>
      <c r="E246" t="s">
        <v>9</v>
      </c>
      <c r="F246" t="s">
        <v>20</v>
      </c>
    </row>
    <row r="247" spans="1:6" x14ac:dyDescent="0.3">
      <c r="A247">
        <v>246</v>
      </c>
      <c r="B247" t="s">
        <v>6</v>
      </c>
      <c r="C247" t="s">
        <v>7</v>
      </c>
      <c r="D247" t="s">
        <v>8</v>
      </c>
      <c r="E247" t="s">
        <v>9</v>
      </c>
      <c r="F247" t="s">
        <v>10</v>
      </c>
    </row>
    <row r="248" spans="1:6" x14ac:dyDescent="0.3">
      <c r="A248">
        <v>247</v>
      </c>
      <c r="B248" t="s">
        <v>11</v>
      </c>
      <c r="C248" t="s">
        <v>12</v>
      </c>
      <c r="D248" t="s">
        <v>22</v>
      </c>
      <c r="E248" t="s">
        <v>15</v>
      </c>
      <c r="F248" t="s">
        <v>20</v>
      </c>
    </row>
    <row r="249" spans="1:6" x14ac:dyDescent="0.3">
      <c r="A249">
        <v>248</v>
      </c>
      <c r="B249" t="s">
        <v>16</v>
      </c>
      <c r="C249" t="s">
        <v>24</v>
      </c>
      <c r="D249" t="s">
        <v>22</v>
      </c>
      <c r="E249" t="s">
        <v>15</v>
      </c>
      <c r="F249" t="s">
        <v>13</v>
      </c>
    </row>
    <row r="250" spans="1:6" x14ac:dyDescent="0.3">
      <c r="A250">
        <v>249</v>
      </c>
      <c r="B250" t="s">
        <v>18</v>
      </c>
      <c r="C250" t="s">
        <v>7</v>
      </c>
      <c r="D250" t="s">
        <v>22</v>
      </c>
      <c r="E250" t="s">
        <v>21</v>
      </c>
      <c r="F250" t="s">
        <v>23</v>
      </c>
    </row>
    <row r="251" spans="1:6" x14ac:dyDescent="0.3">
      <c r="A251">
        <v>250</v>
      </c>
      <c r="B251" t="s">
        <v>11</v>
      </c>
      <c r="C251" t="s">
        <v>12</v>
      </c>
      <c r="D251" t="s">
        <v>8</v>
      </c>
      <c r="E251" t="s">
        <v>15</v>
      </c>
      <c r="F251" t="s">
        <v>23</v>
      </c>
    </row>
    <row r="252" spans="1:6" x14ac:dyDescent="0.3">
      <c r="A252">
        <v>251</v>
      </c>
      <c r="B252" t="s">
        <v>6</v>
      </c>
      <c r="C252" t="s">
        <v>7</v>
      </c>
      <c r="D252" t="s">
        <v>8</v>
      </c>
      <c r="E252" t="s">
        <v>19</v>
      </c>
      <c r="F252" t="s">
        <v>23</v>
      </c>
    </row>
    <row r="253" spans="1:6" x14ac:dyDescent="0.3">
      <c r="A253">
        <v>252</v>
      </c>
      <c r="B253" t="s">
        <v>25</v>
      </c>
      <c r="C253" t="s">
        <v>7</v>
      </c>
      <c r="D253" t="s">
        <v>22</v>
      </c>
      <c r="E253" t="s">
        <v>19</v>
      </c>
      <c r="F253" t="s">
        <v>10</v>
      </c>
    </row>
    <row r="254" spans="1:6" x14ac:dyDescent="0.3">
      <c r="A254">
        <v>253</v>
      </c>
      <c r="B254" t="s">
        <v>11</v>
      </c>
      <c r="C254" t="s">
        <v>12</v>
      </c>
      <c r="D254" t="s">
        <v>1</v>
      </c>
      <c r="E254" t="s">
        <v>21</v>
      </c>
      <c r="F254" t="s">
        <v>23</v>
      </c>
    </row>
    <row r="255" spans="1:6" x14ac:dyDescent="0.3">
      <c r="A255">
        <v>254</v>
      </c>
      <c r="B255" t="s">
        <v>6</v>
      </c>
      <c r="C255" t="s">
        <v>7</v>
      </c>
      <c r="D255" t="s">
        <v>1</v>
      </c>
      <c r="E255" t="s">
        <v>21</v>
      </c>
      <c r="F255" t="s">
        <v>20</v>
      </c>
    </row>
    <row r="256" spans="1:6" x14ac:dyDescent="0.3">
      <c r="A256">
        <v>255</v>
      </c>
      <c r="B256" t="s">
        <v>14</v>
      </c>
      <c r="C256" t="s">
        <v>12</v>
      </c>
      <c r="D256" t="s">
        <v>1</v>
      </c>
      <c r="E256" t="s">
        <v>9</v>
      </c>
      <c r="F256" t="s">
        <v>23</v>
      </c>
    </row>
    <row r="257" spans="1:6" x14ac:dyDescent="0.3">
      <c r="A257">
        <v>256</v>
      </c>
      <c r="B257" t="s">
        <v>25</v>
      </c>
      <c r="C257" t="s">
        <v>12</v>
      </c>
      <c r="D257" t="s">
        <v>1</v>
      </c>
      <c r="E257" t="s">
        <v>21</v>
      </c>
      <c r="F257" t="s">
        <v>23</v>
      </c>
    </row>
    <row r="258" spans="1:6" x14ac:dyDescent="0.3">
      <c r="A258">
        <v>257</v>
      </c>
      <c r="B258" t="s">
        <v>16</v>
      </c>
      <c r="C258" t="s">
        <v>7</v>
      </c>
      <c r="D258" t="s">
        <v>22</v>
      </c>
      <c r="E258" t="s">
        <v>21</v>
      </c>
      <c r="F258" t="s">
        <v>23</v>
      </c>
    </row>
    <row r="259" spans="1:6" x14ac:dyDescent="0.3">
      <c r="A259">
        <v>258</v>
      </c>
      <c r="B259" t="s">
        <v>18</v>
      </c>
      <c r="C259" t="s">
        <v>12</v>
      </c>
      <c r="D259" t="s">
        <v>22</v>
      </c>
      <c r="E259" t="s">
        <v>21</v>
      </c>
      <c r="F259" t="s">
        <v>13</v>
      </c>
    </row>
    <row r="260" spans="1:6" x14ac:dyDescent="0.3">
      <c r="A260">
        <v>259</v>
      </c>
      <c r="B260" t="s">
        <v>18</v>
      </c>
      <c r="C260" t="s">
        <v>7</v>
      </c>
      <c r="D260" t="s">
        <v>8</v>
      </c>
      <c r="E260" t="s">
        <v>19</v>
      </c>
      <c r="F260" t="s">
        <v>20</v>
      </c>
    </row>
    <row r="261" spans="1:6" x14ac:dyDescent="0.3">
      <c r="A261">
        <v>260</v>
      </c>
      <c r="B261" t="s">
        <v>14</v>
      </c>
      <c r="C261" t="s">
        <v>12</v>
      </c>
      <c r="D261" t="s">
        <v>8</v>
      </c>
      <c r="E261" t="s">
        <v>9</v>
      </c>
      <c r="F261" t="s">
        <v>23</v>
      </c>
    </row>
    <row r="262" spans="1:6" x14ac:dyDescent="0.3">
      <c r="A262">
        <v>261</v>
      </c>
      <c r="B262" t="s">
        <v>18</v>
      </c>
      <c r="C262" t="s">
        <v>7</v>
      </c>
      <c r="D262" t="s">
        <v>8</v>
      </c>
      <c r="E262" t="s">
        <v>9</v>
      </c>
      <c r="F262" t="s">
        <v>13</v>
      </c>
    </row>
    <row r="263" spans="1:6" x14ac:dyDescent="0.3">
      <c r="A263">
        <v>262</v>
      </c>
      <c r="B263" t="s">
        <v>6</v>
      </c>
      <c r="C263" t="s">
        <v>12</v>
      </c>
      <c r="D263" t="s">
        <v>8</v>
      </c>
      <c r="E263" t="s">
        <v>9</v>
      </c>
      <c r="F263" t="s">
        <v>23</v>
      </c>
    </row>
    <row r="264" spans="1:6" x14ac:dyDescent="0.3">
      <c r="A264">
        <v>263</v>
      </c>
      <c r="B264" t="s">
        <v>18</v>
      </c>
      <c r="C264" t="s">
        <v>12</v>
      </c>
      <c r="D264" t="s">
        <v>22</v>
      </c>
      <c r="E264" t="s">
        <v>21</v>
      </c>
      <c r="F264" t="s">
        <v>20</v>
      </c>
    </row>
    <row r="265" spans="1:6" x14ac:dyDescent="0.3">
      <c r="A265">
        <v>264</v>
      </c>
      <c r="B265" t="s">
        <v>25</v>
      </c>
      <c r="C265" t="s">
        <v>7</v>
      </c>
      <c r="D265" t="s">
        <v>1</v>
      </c>
      <c r="E265" t="s">
        <v>9</v>
      </c>
      <c r="F265" t="s">
        <v>23</v>
      </c>
    </row>
    <row r="266" spans="1:6" x14ac:dyDescent="0.3">
      <c r="A266">
        <v>265</v>
      </c>
      <c r="B266" t="s">
        <v>11</v>
      </c>
      <c r="C266" t="s">
        <v>12</v>
      </c>
      <c r="D266" t="s">
        <v>8</v>
      </c>
      <c r="E266" t="s">
        <v>19</v>
      </c>
      <c r="F266" t="s">
        <v>23</v>
      </c>
    </row>
    <row r="267" spans="1:6" x14ac:dyDescent="0.3">
      <c r="A267">
        <v>266</v>
      </c>
      <c r="B267" t="s">
        <v>14</v>
      </c>
      <c r="C267" t="s">
        <v>12</v>
      </c>
      <c r="D267" t="s">
        <v>1</v>
      </c>
      <c r="E267" t="s">
        <v>21</v>
      </c>
      <c r="F267" t="s">
        <v>23</v>
      </c>
    </row>
    <row r="268" spans="1:6" x14ac:dyDescent="0.3">
      <c r="A268">
        <v>267</v>
      </c>
      <c r="B268" t="s">
        <v>14</v>
      </c>
      <c r="C268" t="s">
        <v>12</v>
      </c>
      <c r="D268" t="s">
        <v>8</v>
      </c>
      <c r="E268" t="s">
        <v>9</v>
      </c>
      <c r="F268" t="s">
        <v>13</v>
      </c>
    </row>
    <row r="269" spans="1:6" x14ac:dyDescent="0.3">
      <c r="A269">
        <v>268</v>
      </c>
      <c r="B269" t="s">
        <v>16</v>
      </c>
      <c r="C269" t="s">
        <v>12</v>
      </c>
      <c r="D269" t="s">
        <v>22</v>
      </c>
      <c r="E269" t="s">
        <v>9</v>
      </c>
      <c r="F269" t="s">
        <v>10</v>
      </c>
    </row>
    <row r="270" spans="1:6" x14ac:dyDescent="0.3">
      <c r="A270">
        <v>269</v>
      </c>
      <c r="B270" t="s">
        <v>16</v>
      </c>
      <c r="C270" t="s">
        <v>12</v>
      </c>
      <c r="D270" t="s">
        <v>1</v>
      </c>
      <c r="E270" t="s">
        <v>21</v>
      </c>
      <c r="F270" t="s">
        <v>20</v>
      </c>
    </row>
    <row r="271" spans="1:6" x14ac:dyDescent="0.3">
      <c r="A271">
        <v>270</v>
      </c>
      <c r="B271" t="s">
        <v>6</v>
      </c>
      <c r="C271" t="s">
        <v>12</v>
      </c>
      <c r="D271" t="s">
        <v>1</v>
      </c>
      <c r="E271" t="s">
        <v>9</v>
      </c>
      <c r="F271" t="s">
        <v>10</v>
      </c>
    </row>
    <row r="272" spans="1:6" x14ac:dyDescent="0.3">
      <c r="A272">
        <v>271</v>
      </c>
      <c r="B272" t="s">
        <v>11</v>
      </c>
      <c r="C272" t="s">
        <v>7</v>
      </c>
      <c r="D272" t="s">
        <v>22</v>
      </c>
      <c r="E272" t="s">
        <v>21</v>
      </c>
      <c r="F272" t="s">
        <v>20</v>
      </c>
    </row>
    <row r="273" spans="1:6" x14ac:dyDescent="0.3">
      <c r="A273">
        <v>272</v>
      </c>
      <c r="B273" t="s">
        <v>16</v>
      </c>
      <c r="C273" t="s">
        <v>7</v>
      </c>
      <c r="D273" t="s">
        <v>8</v>
      </c>
      <c r="E273" t="s">
        <v>19</v>
      </c>
      <c r="F273" t="s">
        <v>23</v>
      </c>
    </row>
    <row r="274" spans="1:6" x14ac:dyDescent="0.3">
      <c r="A274">
        <v>273</v>
      </c>
      <c r="B274" t="s">
        <v>16</v>
      </c>
      <c r="C274" t="s">
        <v>12</v>
      </c>
      <c r="D274" t="s">
        <v>1</v>
      </c>
      <c r="E274" t="s">
        <v>15</v>
      </c>
      <c r="F274" t="s">
        <v>20</v>
      </c>
    </row>
    <row r="275" spans="1:6" x14ac:dyDescent="0.3">
      <c r="A275">
        <v>274</v>
      </c>
      <c r="B275" t="s">
        <v>18</v>
      </c>
      <c r="C275" t="s">
        <v>7</v>
      </c>
      <c r="D275" t="s">
        <v>8</v>
      </c>
      <c r="E275" t="s">
        <v>19</v>
      </c>
      <c r="F275" t="s">
        <v>10</v>
      </c>
    </row>
    <row r="276" spans="1:6" x14ac:dyDescent="0.3">
      <c r="A276">
        <v>275</v>
      </c>
      <c r="B276" t="s">
        <v>14</v>
      </c>
      <c r="C276" t="s">
        <v>7</v>
      </c>
      <c r="D276" t="s">
        <v>8</v>
      </c>
      <c r="E276" t="s">
        <v>15</v>
      </c>
      <c r="F276" t="s">
        <v>13</v>
      </c>
    </row>
    <row r="277" spans="1:6" x14ac:dyDescent="0.3">
      <c r="A277">
        <v>276</v>
      </c>
      <c r="B277" t="s">
        <v>14</v>
      </c>
      <c r="C277" t="s">
        <v>12</v>
      </c>
      <c r="D277" t="s">
        <v>22</v>
      </c>
      <c r="E277" t="s">
        <v>21</v>
      </c>
      <c r="F277" t="s">
        <v>23</v>
      </c>
    </row>
    <row r="278" spans="1:6" x14ac:dyDescent="0.3">
      <c r="A278">
        <v>277</v>
      </c>
      <c r="B278" t="s">
        <v>25</v>
      </c>
      <c r="C278" t="s">
        <v>12</v>
      </c>
      <c r="D278" t="s">
        <v>8</v>
      </c>
      <c r="E278" t="s">
        <v>19</v>
      </c>
      <c r="F278" t="s">
        <v>23</v>
      </c>
    </row>
    <row r="279" spans="1:6" x14ac:dyDescent="0.3">
      <c r="A279">
        <v>278</v>
      </c>
      <c r="B279" t="s">
        <v>25</v>
      </c>
      <c r="C279" t="s">
        <v>7</v>
      </c>
      <c r="D279" t="s">
        <v>1</v>
      </c>
      <c r="E279" t="s">
        <v>15</v>
      </c>
      <c r="F279" t="s">
        <v>20</v>
      </c>
    </row>
    <row r="280" spans="1:6" x14ac:dyDescent="0.3">
      <c r="A280">
        <v>279</v>
      </c>
      <c r="B280" t="s">
        <v>6</v>
      </c>
      <c r="C280" t="s">
        <v>12</v>
      </c>
      <c r="D280" t="s">
        <v>22</v>
      </c>
      <c r="E280" t="s">
        <v>9</v>
      </c>
      <c r="F280" t="s">
        <v>20</v>
      </c>
    </row>
    <row r="281" spans="1:6" x14ac:dyDescent="0.3">
      <c r="A281">
        <v>280</v>
      </c>
      <c r="B281" t="s">
        <v>11</v>
      </c>
      <c r="C281" t="s">
        <v>12</v>
      </c>
      <c r="D281" t="s">
        <v>8</v>
      </c>
      <c r="E281" t="s">
        <v>19</v>
      </c>
      <c r="F281" t="s">
        <v>20</v>
      </c>
    </row>
    <row r="282" spans="1:6" x14ac:dyDescent="0.3">
      <c r="A282">
        <v>281</v>
      </c>
      <c r="B282" t="s">
        <v>14</v>
      </c>
      <c r="C282" t="s">
        <v>7</v>
      </c>
      <c r="D282" t="s">
        <v>8</v>
      </c>
      <c r="E282" t="s">
        <v>19</v>
      </c>
      <c r="F282" t="s">
        <v>10</v>
      </c>
    </row>
    <row r="283" spans="1:6" x14ac:dyDescent="0.3">
      <c r="A283">
        <v>282</v>
      </c>
      <c r="B283" t="s">
        <v>11</v>
      </c>
      <c r="C283" t="s">
        <v>7</v>
      </c>
      <c r="D283" t="s">
        <v>8</v>
      </c>
      <c r="E283" t="s">
        <v>19</v>
      </c>
      <c r="F283" t="s">
        <v>23</v>
      </c>
    </row>
    <row r="284" spans="1:6" x14ac:dyDescent="0.3">
      <c r="A284">
        <v>283</v>
      </c>
      <c r="B284" t="s">
        <v>11</v>
      </c>
      <c r="C284" t="s">
        <v>7</v>
      </c>
      <c r="D284" t="s">
        <v>1</v>
      </c>
      <c r="E284" t="s">
        <v>15</v>
      </c>
      <c r="F284" t="s">
        <v>20</v>
      </c>
    </row>
    <row r="285" spans="1:6" x14ac:dyDescent="0.3">
      <c r="A285">
        <v>284</v>
      </c>
      <c r="B285" t="s">
        <v>6</v>
      </c>
      <c r="C285" t="s">
        <v>7</v>
      </c>
      <c r="D285" t="s">
        <v>22</v>
      </c>
      <c r="E285" t="s">
        <v>15</v>
      </c>
      <c r="F285" t="s">
        <v>13</v>
      </c>
    </row>
    <row r="286" spans="1:6" x14ac:dyDescent="0.3">
      <c r="A286">
        <v>285</v>
      </c>
      <c r="B286" t="s">
        <v>14</v>
      </c>
      <c r="C286" t="s">
        <v>12</v>
      </c>
      <c r="D286" t="s">
        <v>8</v>
      </c>
      <c r="E286" t="s">
        <v>19</v>
      </c>
      <c r="F286" t="s">
        <v>20</v>
      </c>
    </row>
    <row r="287" spans="1:6" x14ac:dyDescent="0.3">
      <c r="A287">
        <v>286</v>
      </c>
      <c r="B287" t="s">
        <v>11</v>
      </c>
      <c r="C287" t="s">
        <v>12</v>
      </c>
      <c r="D287" t="s">
        <v>22</v>
      </c>
      <c r="E287" t="s">
        <v>21</v>
      </c>
      <c r="F287" t="s">
        <v>23</v>
      </c>
    </row>
    <row r="288" spans="1:6" x14ac:dyDescent="0.3">
      <c r="A288">
        <v>287</v>
      </c>
      <c r="B288" t="s">
        <v>25</v>
      </c>
      <c r="C288" t="s">
        <v>12</v>
      </c>
      <c r="D288" t="s">
        <v>22</v>
      </c>
      <c r="E288" t="s">
        <v>21</v>
      </c>
      <c r="F288" t="s">
        <v>20</v>
      </c>
    </row>
    <row r="289" spans="1:6" x14ac:dyDescent="0.3">
      <c r="A289">
        <v>288</v>
      </c>
      <c r="B289" t="s">
        <v>11</v>
      </c>
      <c r="C289" t="s">
        <v>7</v>
      </c>
      <c r="D289" t="s">
        <v>8</v>
      </c>
      <c r="E289" t="s">
        <v>19</v>
      </c>
      <c r="F289" t="s">
        <v>20</v>
      </c>
    </row>
    <row r="290" spans="1:6" x14ac:dyDescent="0.3">
      <c r="A290">
        <v>289</v>
      </c>
      <c r="B290" t="s">
        <v>6</v>
      </c>
      <c r="C290" t="s">
        <v>12</v>
      </c>
      <c r="D290" t="s">
        <v>22</v>
      </c>
      <c r="E290" t="s">
        <v>21</v>
      </c>
      <c r="F290" t="s">
        <v>13</v>
      </c>
    </row>
    <row r="291" spans="1:6" x14ac:dyDescent="0.3">
      <c r="A291">
        <v>290</v>
      </c>
      <c r="B291" t="s">
        <v>18</v>
      </c>
      <c r="C291" t="s">
        <v>7</v>
      </c>
      <c r="D291" t="s">
        <v>1</v>
      </c>
      <c r="E291" t="s">
        <v>21</v>
      </c>
      <c r="F291" t="s">
        <v>13</v>
      </c>
    </row>
    <row r="292" spans="1:6" x14ac:dyDescent="0.3">
      <c r="A292">
        <v>291</v>
      </c>
      <c r="B292" t="s">
        <v>25</v>
      </c>
      <c r="C292" t="s">
        <v>7</v>
      </c>
      <c r="D292" t="s">
        <v>22</v>
      </c>
      <c r="E292" t="s">
        <v>19</v>
      </c>
      <c r="F292" t="s">
        <v>10</v>
      </c>
    </row>
    <row r="293" spans="1:6" x14ac:dyDescent="0.3">
      <c r="A293">
        <v>292</v>
      </c>
      <c r="B293" t="s">
        <v>6</v>
      </c>
      <c r="C293" t="s">
        <v>12</v>
      </c>
      <c r="D293" t="s">
        <v>22</v>
      </c>
      <c r="E293" t="s">
        <v>9</v>
      </c>
      <c r="F293" t="s">
        <v>20</v>
      </c>
    </row>
    <row r="294" spans="1:6" x14ac:dyDescent="0.3">
      <c r="A294">
        <v>293</v>
      </c>
      <c r="B294" t="s">
        <v>6</v>
      </c>
      <c r="C294" t="s">
        <v>12</v>
      </c>
      <c r="D294" t="s">
        <v>8</v>
      </c>
      <c r="E294" t="s">
        <v>9</v>
      </c>
      <c r="F294" t="s">
        <v>10</v>
      </c>
    </row>
    <row r="295" spans="1:6" x14ac:dyDescent="0.3">
      <c r="A295">
        <v>294</v>
      </c>
      <c r="B295" t="s">
        <v>6</v>
      </c>
      <c r="C295" t="s">
        <v>7</v>
      </c>
      <c r="D295" t="s">
        <v>8</v>
      </c>
      <c r="E295" t="s">
        <v>9</v>
      </c>
      <c r="F295" t="s">
        <v>10</v>
      </c>
    </row>
    <row r="296" spans="1:6" x14ac:dyDescent="0.3">
      <c r="A296">
        <v>295</v>
      </c>
      <c r="B296" t="s">
        <v>11</v>
      </c>
      <c r="C296" t="s">
        <v>7</v>
      </c>
      <c r="D296" t="s">
        <v>1</v>
      </c>
      <c r="E296" t="s">
        <v>15</v>
      </c>
      <c r="F296" t="s">
        <v>20</v>
      </c>
    </row>
    <row r="297" spans="1:6" x14ac:dyDescent="0.3">
      <c r="A297">
        <v>296</v>
      </c>
      <c r="B297" t="s">
        <v>6</v>
      </c>
      <c r="C297" t="s">
        <v>12</v>
      </c>
      <c r="D297" t="s">
        <v>8</v>
      </c>
      <c r="E297" t="s">
        <v>19</v>
      </c>
      <c r="F297" t="s">
        <v>23</v>
      </c>
    </row>
    <row r="298" spans="1:6" x14ac:dyDescent="0.3">
      <c r="A298">
        <v>297</v>
      </c>
      <c r="B298" t="s">
        <v>11</v>
      </c>
      <c r="C298" t="s">
        <v>24</v>
      </c>
      <c r="D298" t="s">
        <v>8</v>
      </c>
      <c r="E298" t="s">
        <v>15</v>
      </c>
      <c r="F298" t="s">
        <v>13</v>
      </c>
    </row>
    <row r="299" spans="1:6" x14ac:dyDescent="0.3">
      <c r="A299">
        <v>298</v>
      </c>
      <c r="B299" t="s">
        <v>11</v>
      </c>
      <c r="C299" t="s">
        <v>12</v>
      </c>
      <c r="D299" t="s">
        <v>1</v>
      </c>
      <c r="E299" t="s">
        <v>21</v>
      </c>
      <c r="F299" t="s">
        <v>23</v>
      </c>
    </row>
    <row r="300" spans="1:6" x14ac:dyDescent="0.3">
      <c r="A300">
        <v>299</v>
      </c>
      <c r="B300" t="s">
        <v>16</v>
      </c>
      <c r="C300" t="s">
        <v>12</v>
      </c>
      <c r="D300" t="s">
        <v>22</v>
      </c>
      <c r="E300" t="s">
        <v>21</v>
      </c>
      <c r="F300" t="s">
        <v>13</v>
      </c>
    </row>
    <row r="301" spans="1:6" x14ac:dyDescent="0.3">
      <c r="A301">
        <v>300</v>
      </c>
      <c r="B301" t="s">
        <v>11</v>
      </c>
      <c r="C301" t="s">
        <v>12</v>
      </c>
      <c r="D301" t="s">
        <v>1</v>
      </c>
      <c r="E301" t="s">
        <v>21</v>
      </c>
      <c r="F301" t="s">
        <v>13</v>
      </c>
    </row>
    <row r="302" spans="1:6" x14ac:dyDescent="0.3">
      <c r="A302">
        <v>301</v>
      </c>
      <c r="B302" t="s">
        <v>6</v>
      </c>
      <c r="C302" t="s">
        <v>12</v>
      </c>
      <c r="D302" t="s">
        <v>8</v>
      </c>
      <c r="E302" t="s">
        <v>19</v>
      </c>
      <c r="F302" t="s">
        <v>13</v>
      </c>
    </row>
    <row r="303" spans="1:6" x14ac:dyDescent="0.3">
      <c r="A303">
        <v>302</v>
      </c>
      <c r="B303" t="s">
        <v>11</v>
      </c>
      <c r="C303" t="s">
        <v>7</v>
      </c>
      <c r="D303" t="s">
        <v>8</v>
      </c>
      <c r="E303" t="s">
        <v>19</v>
      </c>
      <c r="F303" t="s">
        <v>10</v>
      </c>
    </row>
    <row r="304" spans="1:6" x14ac:dyDescent="0.3">
      <c r="A304">
        <v>303</v>
      </c>
      <c r="B304" t="s">
        <v>18</v>
      </c>
      <c r="C304" t="s">
        <v>7</v>
      </c>
      <c r="D304" t="s">
        <v>8</v>
      </c>
      <c r="E304" t="s">
        <v>19</v>
      </c>
      <c r="F304" t="s">
        <v>20</v>
      </c>
    </row>
    <row r="305" spans="1:6" x14ac:dyDescent="0.3">
      <c r="A305">
        <v>304</v>
      </c>
      <c r="B305" t="s">
        <v>18</v>
      </c>
      <c r="C305" t="s">
        <v>12</v>
      </c>
      <c r="D305" t="s">
        <v>8</v>
      </c>
      <c r="E305" t="s">
        <v>19</v>
      </c>
      <c r="F305" t="s">
        <v>10</v>
      </c>
    </row>
    <row r="306" spans="1:6" x14ac:dyDescent="0.3">
      <c r="A306">
        <v>305</v>
      </c>
      <c r="B306" t="s">
        <v>11</v>
      </c>
      <c r="C306" t="s">
        <v>7</v>
      </c>
      <c r="D306" t="s">
        <v>8</v>
      </c>
      <c r="E306" t="s">
        <v>19</v>
      </c>
      <c r="F306" t="s">
        <v>13</v>
      </c>
    </row>
    <row r="307" spans="1:6" x14ac:dyDescent="0.3">
      <c r="A307">
        <v>306</v>
      </c>
      <c r="B307" t="s">
        <v>16</v>
      </c>
      <c r="C307" t="s">
        <v>7</v>
      </c>
      <c r="D307" t="s">
        <v>22</v>
      </c>
      <c r="E307" t="s">
        <v>21</v>
      </c>
      <c r="F307" t="s">
        <v>23</v>
      </c>
    </row>
    <row r="308" spans="1:6" x14ac:dyDescent="0.3">
      <c r="A308">
        <v>307</v>
      </c>
      <c r="B308" t="s">
        <v>18</v>
      </c>
      <c r="C308" t="s">
        <v>12</v>
      </c>
      <c r="D308" t="s">
        <v>22</v>
      </c>
      <c r="E308" t="s">
        <v>21</v>
      </c>
      <c r="F308" t="s">
        <v>20</v>
      </c>
    </row>
    <row r="309" spans="1:6" x14ac:dyDescent="0.3">
      <c r="A309">
        <v>308</v>
      </c>
      <c r="B309" t="s">
        <v>6</v>
      </c>
      <c r="C309" t="s">
        <v>12</v>
      </c>
      <c r="D309" t="s">
        <v>1</v>
      </c>
      <c r="E309" t="s">
        <v>21</v>
      </c>
      <c r="F309" t="s">
        <v>20</v>
      </c>
    </row>
    <row r="310" spans="1:6" x14ac:dyDescent="0.3">
      <c r="A310">
        <v>309</v>
      </c>
      <c r="B310" t="s">
        <v>18</v>
      </c>
      <c r="C310" t="s">
        <v>7</v>
      </c>
      <c r="D310" t="s">
        <v>8</v>
      </c>
      <c r="E310" t="s">
        <v>19</v>
      </c>
      <c r="F310" t="s">
        <v>23</v>
      </c>
    </row>
    <row r="311" spans="1:6" x14ac:dyDescent="0.3">
      <c r="A311">
        <v>310</v>
      </c>
      <c r="B311" t="s">
        <v>6</v>
      </c>
      <c r="C311" t="s">
        <v>12</v>
      </c>
      <c r="D311" t="s">
        <v>8</v>
      </c>
      <c r="E311" t="s">
        <v>9</v>
      </c>
      <c r="F311" t="s">
        <v>23</v>
      </c>
    </row>
    <row r="312" spans="1:6" x14ac:dyDescent="0.3">
      <c r="A312">
        <v>311</v>
      </c>
      <c r="B312" t="s">
        <v>11</v>
      </c>
      <c r="C312" t="s">
        <v>7</v>
      </c>
      <c r="D312" t="s">
        <v>1</v>
      </c>
      <c r="E312" t="s">
        <v>21</v>
      </c>
      <c r="F312" t="s">
        <v>13</v>
      </c>
    </row>
    <row r="313" spans="1:6" x14ac:dyDescent="0.3">
      <c r="A313">
        <v>312</v>
      </c>
      <c r="B313" t="s">
        <v>18</v>
      </c>
      <c r="C313" t="s">
        <v>7</v>
      </c>
      <c r="D313" t="s">
        <v>8</v>
      </c>
      <c r="E313" t="s">
        <v>19</v>
      </c>
      <c r="F313" t="s">
        <v>13</v>
      </c>
    </row>
    <row r="314" spans="1:6" x14ac:dyDescent="0.3">
      <c r="A314">
        <v>313</v>
      </c>
      <c r="B314" t="s">
        <v>14</v>
      </c>
      <c r="C314" t="s">
        <v>24</v>
      </c>
      <c r="D314" t="s">
        <v>8</v>
      </c>
      <c r="E314" t="s">
        <v>15</v>
      </c>
      <c r="F314" t="s">
        <v>20</v>
      </c>
    </row>
    <row r="315" spans="1:6" x14ac:dyDescent="0.3">
      <c r="A315">
        <v>314</v>
      </c>
      <c r="B315" t="s">
        <v>18</v>
      </c>
      <c r="C315" t="s">
        <v>12</v>
      </c>
      <c r="D315" t="s">
        <v>8</v>
      </c>
      <c r="E315" t="s">
        <v>19</v>
      </c>
      <c r="F315" t="s">
        <v>13</v>
      </c>
    </row>
    <row r="316" spans="1:6" x14ac:dyDescent="0.3">
      <c r="A316">
        <v>315</v>
      </c>
      <c r="B316" t="s">
        <v>11</v>
      </c>
      <c r="C316" t="s">
        <v>12</v>
      </c>
      <c r="D316" t="s">
        <v>8</v>
      </c>
      <c r="E316" t="s">
        <v>9</v>
      </c>
      <c r="F316" t="s">
        <v>23</v>
      </c>
    </row>
    <row r="317" spans="1:6" x14ac:dyDescent="0.3">
      <c r="A317">
        <v>316</v>
      </c>
      <c r="B317" t="s">
        <v>16</v>
      </c>
      <c r="C317" t="s">
        <v>7</v>
      </c>
      <c r="D317" t="s">
        <v>8</v>
      </c>
      <c r="E317" t="s">
        <v>9</v>
      </c>
      <c r="F317" t="s">
        <v>23</v>
      </c>
    </row>
    <row r="318" spans="1:6" x14ac:dyDescent="0.3">
      <c r="A318">
        <v>317</v>
      </c>
      <c r="B318" t="s">
        <v>6</v>
      </c>
      <c r="C318" t="s">
        <v>12</v>
      </c>
      <c r="D318" t="s">
        <v>8</v>
      </c>
      <c r="E318" t="s">
        <v>19</v>
      </c>
      <c r="F318" t="s">
        <v>23</v>
      </c>
    </row>
    <row r="319" spans="1:6" x14ac:dyDescent="0.3">
      <c r="A319">
        <v>318</v>
      </c>
      <c r="B319" t="s">
        <v>18</v>
      </c>
      <c r="C319" t="s">
        <v>7</v>
      </c>
      <c r="D319" t="s">
        <v>1</v>
      </c>
      <c r="E319" t="s">
        <v>19</v>
      </c>
      <c r="F319" t="s">
        <v>10</v>
      </c>
    </row>
    <row r="320" spans="1:6" x14ac:dyDescent="0.3">
      <c r="A320">
        <v>319</v>
      </c>
      <c r="B320" t="s">
        <v>16</v>
      </c>
      <c r="C320" t="s">
        <v>7</v>
      </c>
      <c r="D320" t="s">
        <v>8</v>
      </c>
      <c r="E320" t="s">
        <v>9</v>
      </c>
      <c r="F320" t="s">
        <v>20</v>
      </c>
    </row>
    <row r="321" spans="1:6" x14ac:dyDescent="0.3">
      <c r="A321">
        <v>320</v>
      </c>
      <c r="B321" t="s">
        <v>25</v>
      </c>
      <c r="C321" t="s">
        <v>7</v>
      </c>
      <c r="D321" t="s">
        <v>8</v>
      </c>
      <c r="E321" t="s">
        <v>9</v>
      </c>
      <c r="F321" t="s">
        <v>20</v>
      </c>
    </row>
    <row r="322" spans="1:6" x14ac:dyDescent="0.3">
      <c r="A322">
        <v>321</v>
      </c>
      <c r="B322" t="s">
        <v>14</v>
      </c>
      <c r="C322" t="s">
        <v>7</v>
      </c>
      <c r="D322" t="s">
        <v>1</v>
      </c>
      <c r="E322" t="s">
        <v>17</v>
      </c>
      <c r="F322" t="s">
        <v>10</v>
      </c>
    </row>
    <row r="323" spans="1:6" x14ac:dyDescent="0.3">
      <c r="A323">
        <v>322</v>
      </c>
      <c r="B323" t="s">
        <v>11</v>
      </c>
      <c r="C323" t="s">
        <v>7</v>
      </c>
      <c r="D323" t="s">
        <v>1</v>
      </c>
      <c r="E323" t="s">
        <v>9</v>
      </c>
      <c r="F323" t="s">
        <v>23</v>
      </c>
    </row>
    <row r="324" spans="1:6" x14ac:dyDescent="0.3">
      <c r="A324">
        <v>323</v>
      </c>
      <c r="B324" t="s">
        <v>25</v>
      </c>
      <c r="C324" t="s">
        <v>7</v>
      </c>
      <c r="D324" t="s">
        <v>1</v>
      </c>
      <c r="E324" t="s">
        <v>15</v>
      </c>
      <c r="F324" t="s">
        <v>23</v>
      </c>
    </row>
    <row r="325" spans="1:6" x14ac:dyDescent="0.3">
      <c r="A325">
        <v>324</v>
      </c>
      <c r="B325" t="s">
        <v>11</v>
      </c>
      <c r="C325" t="s">
        <v>12</v>
      </c>
      <c r="D325" t="s">
        <v>8</v>
      </c>
      <c r="E325" t="s">
        <v>9</v>
      </c>
      <c r="F325" t="s">
        <v>13</v>
      </c>
    </row>
    <row r="326" spans="1:6" x14ac:dyDescent="0.3">
      <c r="A326">
        <v>325</v>
      </c>
      <c r="B326" t="s">
        <v>14</v>
      </c>
      <c r="C326" t="s">
        <v>12</v>
      </c>
      <c r="D326" t="s">
        <v>22</v>
      </c>
      <c r="E326" t="s">
        <v>21</v>
      </c>
      <c r="F326" t="s">
        <v>13</v>
      </c>
    </row>
    <row r="327" spans="1:6" x14ac:dyDescent="0.3">
      <c r="A327">
        <v>326</v>
      </c>
      <c r="B327" t="s">
        <v>16</v>
      </c>
      <c r="C327" t="s">
        <v>7</v>
      </c>
      <c r="D327" t="s">
        <v>1</v>
      </c>
      <c r="E327" t="s">
        <v>9</v>
      </c>
      <c r="F327" t="s">
        <v>13</v>
      </c>
    </row>
    <row r="328" spans="1:6" x14ac:dyDescent="0.3">
      <c r="A328">
        <v>327</v>
      </c>
      <c r="B328" t="s">
        <v>16</v>
      </c>
      <c r="C328" t="s">
        <v>7</v>
      </c>
      <c r="D328" t="s">
        <v>22</v>
      </c>
      <c r="E328" t="s">
        <v>17</v>
      </c>
      <c r="F328" t="s">
        <v>10</v>
      </c>
    </row>
    <row r="329" spans="1:6" x14ac:dyDescent="0.3">
      <c r="A329">
        <v>328</v>
      </c>
      <c r="B329" t="s">
        <v>18</v>
      </c>
      <c r="C329" t="s">
        <v>12</v>
      </c>
      <c r="D329" t="s">
        <v>8</v>
      </c>
      <c r="E329" t="s">
        <v>19</v>
      </c>
      <c r="F329" t="s">
        <v>20</v>
      </c>
    </row>
    <row r="330" spans="1:6" x14ac:dyDescent="0.3">
      <c r="A330">
        <v>329</v>
      </c>
      <c r="B330" t="s">
        <v>6</v>
      </c>
      <c r="C330" t="s">
        <v>7</v>
      </c>
      <c r="D330" t="s">
        <v>22</v>
      </c>
      <c r="E330" t="s">
        <v>21</v>
      </c>
      <c r="F330" t="s">
        <v>20</v>
      </c>
    </row>
    <row r="331" spans="1:6" x14ac:dyDescent="0.3">
      <c r="A331">
        <v>330</v>
      </c>
      <c r="B331" t="s">
        <v>6</v>
      </c>
      <c r="C331" t="s">
        <v>12</v>
      </c>
      <c r="D331" t="s">
        <v>22</v>
      </c>
      <c r="E331" t="s">
        <v>9</v>
      </c>
      <c r="F331" t="s">
        <v>23</v>
      </c>
    </row>
    <row r="332" spans="1:6" x14ac:dyDescent="0.3">
      <c r="A332">
        <v>331</v>
      </c>
      <c r="B332" t="s">
        <v>25</v>
      </c>
      <c r="C332" t="s">
        <v>7</v>
      </c>
      <c r="D332" t="s">
        <v>1</v>
      </c>
      <c r="E332" t="s">
        <v>9</v>
      </c>
      <c r="F332" t="s">
        <v>20</v>
      </c>
    </row>
    <row r="333" spans="1:6" x14ac:dyDescent="0.3">
      <c r="A333">
        <v>332</v>
      </c>
      <c r="B333" t="s">
        <v>25</v>
      </c>
      <c r="C333" t="s">
        <v>12</v>
      </c>
      <c r="D333" t="s">
        <v>8</v>
      </c>
      <c r="E333" t="s">
        <v>19</v>
      </c>
      <c r="F333" t="s">
        <v>23</v>
      </c>
    </row>
    <row r="334" spans="1:6" x14ac:dyDescent="0.3">
      <c r="A334">
        <v>333</v>
      </c>
      <c r="B334" t="s">
        <v>25</v>
      </c>
      <c r="C334" t="s">
        <v>12</v>
      </c>
      <c r="D334" t="s">
        <v>22</v>
      </c>
      <c r="E334" t="s">
        <v>21</v>
      </c>
      <c r="F334" t="s">
        <v>23</v>
      </c>
    </row>
    <row r="335" spans="1:6" x14ac:dyDescent="0.3">
      <c r="A335">
        <v>334</v>
      </c>
      <c r="B335" t="s">
        <v>6</v>
      </c>
      <c r="C335" t="s">
        <v>12</v>
      </c>
      <c r="D335" t="s">
        <v>22</v>
      </c>
      <c r="E335" t="s">
        <v>9</v>
      </c>
      <c r="F335" t="s">
        <v>13</v>
      </c>
    </row>
    <row r="336" spans="1:6" x14ac:dyDescent="0.3">
      <c r="A336">
        <v>335</v>
      </c>
      <c r="B336" t="s">
        <v>18</v>
      </c>
      <c r="C336" t="s">
        <v>12</v>
      </c>
      <c r="D336" t="s">
        <v>22</v>
      </c>
      <c r="E336" t="s">
        <v>21</v>
      </c>
      <c r="F336" t="s">
        <v>13</v>
      </c>
    </row>
    <row r="337" spans="1:6" x14ac:dyDescent="0.3">
      <c r="A337">
        <v>336</v>
      </c>
      <c r="B337" t="s">
        <v>14</v>
      </c>
      <c r="C337" t="s">
        <v>12</v>
      </c>
      <c r="D337" t="s">
        <v>22</v>
      </c>
      <c r="E337" t="s">
        <v>9</v>
      </c>
      <c r="F337" t="s">
        <v>13</v>
      </c>
    </row>
    <row r="338" spans="1:6" x14ac:dyDescent="0.3">
      <c r="A338">
        <v>337</v>
      </c>
      <c r="B338" t="s">
        <v>14</v>
      </c>
      <c r="C338" t="s">
        <v>12</v>
      </c>
      <c r="D338" t="s">
        <v>8</v>
      </c>
      <c r="E338" t="s">
        <v>9</v>
      </c>
      <c r="F338" t="s">
        <v>13</v>
      </c>
    </row>
    <row r="339" spans="1:6" x14ac:dyDescent="0.3">
      <c r="A339">
        <v>338</v>
      </c>
      <c r="B339" t="s">
        <v>6</v>
      </c>
      <c r="C339" t="s">
        <v>12</v>
      </c>
      <c r="D339" t="s">
        <v>1</v>
      </c>
      <c r="E339" t="s">
        <v>21</v>
      </c>
      <c r="F339" t="s">
        <v>20</v>
      </c>
    </row>
    <row r="340" spans="1:6" x14ac:dyDescent="0.3">
      <c r="A340">
        <v>339</v>
      </c>
      <c r="B340" t="s">
        <v>11</v>
      </c>
      <c r="C340" t="s">
        <v>7</v>
      </c>
      <c r="D340" t="s">
        <v>1</v>
      </c>
      <c r="E340" t="s">
        <v>9</v>
      </c>
      <c r="F340" t="s">
        <v>20</v>
      </c>
    </row>
    <row r="341" spans="1:6" x14ac:dyDescent="0.3">
      <c r="A341">
        <v>340</v>
      </c>
      <c r="B341" t="s">
        <v>11</v>
      </c>
      <c r="C341" t="s">
        <v>12</v>
      </c>
      <c r="D341" t="s">
        <v>8</v>
      </c>
      <c r="E341" t="s">
        <v>19</v>
      </c>
      <c r="F341" t="s">
        <v>13</v>
      </c>
    </row>
    <row r="342" spans="1:6" x14ac:dyDescent="0.3">
      <c r="A342">
        <v>341</v>
      </c>
      <c r="B342" t="s">
        <v>14</v>
      </c>
      <c r="C342" t="s">
        <v>7</v>
      </c>
      <c r="D342" t="s">
        <v>22</v>
      </c>
      <c r="E342" t="s">
        <v>21</v>
      </c>
      <c r="F342" t="s">
        <v>20</v>
      </c>
    </row>
    <row r="343" spans="1:6" x14ac:dyDescent="0.3">
      <c r="A343">
        <v>342</v>
      </c>
      <c r="B343" t="s">
        <v>16</v>
      </c>
      <c r="C343" t="s">
        <v>7</v>
      </c>
      <c r="D343" t="s">
        <v>22</v>
      </c>
      <c r="E343" t="s">
        <v>21</v>
      </c>
      <c r="F343" t="s">
        <v>20</v>
      </c>
    </row>
    <row r="344" spans="1:6" x14ac:dyDescent="0.3">
      <c r="A344">
        <v>343</v>
      </c>
      <c r="B344" t="s">
        <v>18</v>
      </c>
      <c r="C344" t="s">
        <v>12</v>
      </c>
      <c r="D344" t="s">
        <v>8</v>
      </c>
      <c r="E344" t="s">
        <v>19</v>
      </c>
      <c r="F344" t="s">
        <v>10</v>
      </c>
    </row>
    <row r="345" spans="1:6" x14ac:dyDescent="0.3">
      <c r="A345">
        <v>344</v>
      </c>
      <c r="B345" t="s">
        <v>11</v>
      </c>
      <c r="C345" t="s">
        <v>24</v>
      </c>
      <c r="D345" t="s">
        <v>22</v>
      </c>
      <c r="E345" t="s">
        <v>15</v>
      </c>
      <c r="F345" t="s">
        <v>20</v>
      </c>
    </row>
    <row r="346" spans="1:6" x14ac:dyDescent="0.3">
      <c r="A346">
        <v>345</v>
      </c>
      <c r="B346" t="s">
        <v>16</v>
      </c>
      <c r="C346" t="s">
        <v>24</v>
      </c>
      <c r="D346" t="s">
        <v>22</v>
      </c>
      <c r="E346" t="s">
        <v>15</v>
      </c>
      <c r="F346" t="s">
        <v>23</v>
      </c>
    </row>
    <row r="347" spans="1:6" x14ac:dyDescent="0.3">
      <c r="A347">
        <v>346</v>
      </c>
      <c r="B347" t="s">
        <v>14</v>
      </c>
      <c r="C347" t="s">
        <v>24</v>
      </c>
      <c r="D347" t="s">
        <v>8</v>
      </c>
      <c r="E347" t="s">
        <v>15</v>
      </c>
      <c r="F347" t="s">
        <v>20</v>
      </c>
    </row>
    <row r="348" spans="1:6" x14ac:dyDescent="0.3">
      <c r="A348">
        <v>347</v>
      </c>
      <c r="B348" t="s">
        <v>16</v>
      </c>
      <c r="C348" t="s">
        <v>7</v>
      </c>
      <c r="D348" t="s">
        <v>22</v>
      </c>
      <c r="E348" t="s">
        <v>21</v>
      </c>
      <c r="F348" t="s">
        <v>23</v>
      </c>
    </row>
    <row r="349" spans="1:6" x14ac:dyDescent="0.3">
      <c r="A349">
        <v>348</v>
      </c>
      <c r="B349" t="s">
        <v>11</v>
      </c>
      <c r="C349" t="s">
        <v>12</v>
      </c>
      <c r="D349" t="s">
        <v>1</v>
      </c>
      <c r="E349" t="s">
        <v>15</v>
      </c>
      <c r="F349" t="s">
        <v>23</v>
      </c>
    </row>
    <row r="350" spans="1:6" x14ac:dyDescent="0.3">
      <c r="A350">
        <v>349</v>
      </c>
      <c r="B350" t="s">
        <v>25</v>
      </c>
      <c r="C350" t="s">
        <v>7</v>
      </c>
      <c r="D350" t="s">
        <v>8</v>
      </c>
      <c r="E350" t="s">
        <v>19</v>
      </c>
      <c r="F350" t="s">
        <v>10</v>
      </c>
    </row>
    <row r="351" spans="1:6" x14ac:dyDescent="0.3">
      <c r="A351">
        <v>350</v>
      </c>
      <c r="B351" t="s">
        <v>6</v>
      </c>
      <c r="C351" t="s">
        <v>7</v>
      </c>
      <c r="D351" t="s">
        <v>22</v>
      </c>
      <c r="E351" t="s">
        <v>15</v>
      </c>
      <c r="F351" t="s">
        <v>13</v>
      </c>
    </row>
    <row r="352" spans="1:6" x14ac:dyDescent="0.3">
      <c r="A352">
        <v>351</v>
      </c>
      <c r="B352" t="s">
        <v>14</v>
      </c>
      <c r="C352" t="s">
        <v>7</v>
      </c>
      <c r="D352" t="s">
        <v>1</v>
      </c>
      <c r="E352" t="s">
        <v>19</v>
      </c>
      <c r="F352" t="s">
        <v>10</v>
      </c>
    </row>
    <row r="353" spans="1:6" x14ac:dyDescent="0.3">
      <c r="A353">
        <v>352</v>
      </c>
      <c r="B353" t="s">
        <v>11</v>
      </c>
      <c r="C353" t="s">
        <v>12</v>
      </c>
      <c r="D353" t="s">
        <v>1</v>
      </c>
      <c r="E353" t="s">
        <v>15</v>
      </c>
      <c r="F353" t="s">
        <v>20</v>
      </c>
    </row>
    <row r="354" spans="1:6" x14ac:dyDescent="0.3">
      <c r="A354">
        <v>353</v>
      </c>
      <c r="B354" t="s">
        <v>25</v>
      </c>
      <c r="C354" t="s">
        <v>7</v>
      </c>
      <c r="D354" t="s">
        <v>8</v>
      </c>
      <c r="E354" t="s">
        <v>19</v>
      </c>
      <c r="F354" t="s">
        <v>20</v>
      </c>
    </row>
    <row r="355" spans="1:6" x14ac:dyDescent="0.3">
      <c r="A355">
        <v>354</v>
      </c>
      <c r="B355" t="s">
        <v>6</v>
      </c>
      <c r="C355" t="s">
        <v>12</v>
      </c>
      <c r="D355" t="s">
        <v>1</v>
      </c>
      <c r="E355" t="s">
        <v>15</v>
      </c>
      <c r="F355" t="s">
        <v>23</v>
      </c>
    </row>
    <row r="356" spans="1:6" x14ac:dyDescent="0.3">
      <c r="A356">
        <v>355</v>
      </c>
      <c r="B356" t="s">
        <v>25</v>
      </c>
      <c r="C356" t="s">
        <v>12</v>
      </c>
      <c r="D356" t="s">
        <v>22</v>
      </c>
      <c r="E356" t="s">
        <v>21</v>
      </c>
      <c r="F356" t="s">
        <v>20</v>
      </c>
    </row>
    <row r="357" spans="1:6" x14ac:dyDescent="0.3">
      <c r="A357">
        <v>356</v>
      </c>
      <c r="B357" t="s">
        <v>16</v>
      </c>
      <c r="C357" t="s">
        <v>12</v>
      </c>
      <c r="D357" t="s">
        <v>8</v>
      </c>
      <c r="E357" t="s">
        <v>19</v>
      </c>
      <c r="F357" t="s">
        <v>13</v>
      </c>
    </row>
    <row r="358" spans="1:6" x14ac:dyDescent="0.3">
      <c r="A358">
        <v>357</v>
      </c>
      <c r="B358" t="s">
        <v>6</v>
      </c>
      <c r="C358" t="s">
        <v>12</v>
      </c>
      <c r="D358" t="s">
        <v>8</v>
      </c>
      <c r="E358" t="s">
        <v>9</v>
      </c>
      <c r="F358" t="s">
        <v>23</v>
      </c>
    </row>
    <row r="359" spans="1:6" x14ac:dyDescent="0.3">
      <c r="A359">
        <v>358</v>
      </c>
      <c r="B359" t="s">
        <v>14</v>
      </c>
      <c r="C359" t="s">
        <v>7</v>
      </c>
      <c r="D359" t="s">
        <v>1</v>
      </c>
      <c r="E359" t="s">
        <v>21</v>
      </c>
      <c r="F359" t="s">
        <v>20</v>
      </c>
    </row>
    <row r="360" spans="1:6" x14ac:dyDescent="0.3">
      <c r="A360">
        <v>359</v>
      </c>
      <c r="B360" t="s">
        <v>18</v>
      </c>
      <c r="C360" t="s">
        <v>24</v>
      </c>
      <c r="D360" t="s">
        <v>22</v>
      </c>
      <c r="E360" t="s">
        <v>17</v>
      </c>
      <c r="F360" t="s">
        <v>10</v>
      </c>
    </row>
    <row r="361" spans="1:6" x14ac:dyDescent="0.3">
      <c r="A361">
        <v>360</v>
      </c>
      <c r="B361" t="s">
        <v>18</v>
      </c>
      <c r="C361" t="s">
        <v>12</v>
      </c>
      <c r="D361" t="s">
        <v>8</v>
      </c>
      <c r="E361" t="s">
        <v>19</v>
      </c>
      <c r="F361" t="s">
        <v>10</v>
      </c>
    </row>
    <row r="362" spans="1:6" x14ac:dyDescent="0.3">
      <c r="A362">
        <v>361</v>
      </c>
      <c r="B362" t="s">
        <v>11</v>
      </c>
      <c r="C362" t="s">
        <v>12</v>
      </c>
      <c r="D362" t="s">
        <v>8</v>
      </c>
      <c r="E362" t="s">
        <v>9</v>
      </c>
      <c r="F362" t="s">
        <v>10</v>
      </c>
    </row>
    <row r="363" spans="1:6" x14ac:dyDescent="0.3">
      <c r="A363">
        <v>362</v>
      </c>
      <c r="B363" t="s">
        <v>25</v>
      </c>
      <c r="C363" t="s">
        <v>12</v>
      </c>
      <c r="D363" t="s">
        <v>1</v>
      </c>
      <c r="E363" t="s">
        <v>17</v>
      </c>
      <c r="F363" t="s">
        <v>10</v>
      </c>
    </row>
    <row r="364" spans="1:6" x14ac:dyDescent="0.3">
      <c r="A364">
        <v>363</v>
      </c>
      <c r="B364" t="s">
        <v>16</v>
      </c>
      <c r="C364" t="s">
        <v>12</v>
      </c>
      <c r="D364" t="s">
        <v>8</v>
      </c>
      <c r="E364" t="s">
        <v>19</v>
      </c>
      <c r="F364" t="s">
        <v>23</v>
      </c>
    </row>
    <row r="365" spans="1:6" x14ac:dyDescent="0.3">
      <c r="A365">
        <v>364</v>
      </c>
      <c r="B365" t="s">
        <v>14</v>
      </c>
      <c r="C365" t="s">
        <v>7</v>
      </c>
      <c r="D365" t="s">
        <v>8</v>
      </c>
      <c r="E365" t="s">
        <v>9</v>
      </c>
      <c r="F365" t="s">
        <v>20</v>
      </c>
    </row>
    <row r="366" spans="1:6" x14ac:dyDescent="0.3">
      <c r="A366">
        <v>365</v>
      </c>
      <c r="B366" t="s">
        <v>18</v>
      </c>
      <c r="C366" t="s">
        <v>7</v>
      </c>
      <c r="D366" t="s">
        <v>8</v>
      </c>
      <c r="E366" t="s">
        <v>19</v>
      </c>
      <c r="F366" t="s">
        <v>10</v>
      </c>
    </row>
    <row r="367" spans="1:6" x14ac:dyDescent="0.3">
      <c r="A367">
        <v>366</v>
      </c>
      <c r="B367" t="s">
        <v>6</v>
      </c>
      <c r="C367" t="s">
        <v>12</v>
      </c>
      <c r="D367" t="s">
        <v>8</v>
      </c>
      <c r="E367" t="s">
        <v>9</v>
      </c>
      <c r="F367" t="s">
        <v>20</v>
      </c>
    </row>
    <row r="368" spans="1:6" x14ac:dyDescent="0.3">
      <c r="A368">
        <v>367</v>
      </c>
      <c r="B368" t="s">
        <v>14</v>
      </c>
      <c r="C368" t="s">
        <v>12</v>
      </c>
      <c r="D368" t="s">
        <v>8</v>
      </c>
      <c r="E368" t="s">
        <v>9</v>
      </c>
      <c r="F368" t="s">
        <v>13</v>
      </c>
    </row>
    <row r="369" spans="1:6" x14ac:dyDescent="0.3">
      <c r="A369">
        <v>368</v>
      </c>
      <c r="B369" t="s">
        <v>6</v>
      </c>
      <c r="C369" t="s">
        <v>7</v>
      </c>
      <c r="D369" t="s">
        <v>1</v>
      </c>
      <c r="E369" t="s">
        <v>15</v>
      </c>
      <c r="F369" t="s">
        <v>13</v>
      </c>
    </row>
    <row r="370" spans="1:6" x14ac:dyDescent="0.3">
      <c r="A370">
        <v>369</v>
      </c>
      <c r="B370" t="s">
        <v>6</v>
      </c>
      <c r="C370" t="s">
        <v>12</v>
      </c>
      <c r="D370" t="s">
        <v>22</v>
      </c>
      <c r="E370" t="s">
        <v>21</v>
      </c>
      <c r="F370" t="s">
        <v>13</v>
      </c>
    </row>
    <row r="371" spans="1:6" x14ac:dyDescent="0.3">
      <c r="A371">
        <v>370</v>
      </c>
      <c r="B371" t="s">
        <v>6</v>
      </c>
      <c r="C371" t="s">
        <v>12</v>
      </c>
      <c r="D371" t="s">
        <v>8</v>
      </c>
      <c r="E371" t="s">
        <v>15</v>
      </c>
      <c r="F371" t="s">
        <v>20</v>
      </c>
    </row>
    <row r="372" spans="1:6" x14ac:dyDescent="0.3">
      <c r="A372">
        <v>371</v>
      </c>
      <c r="B372" t="s">
        <v>14</v>
      </c>
      <c r="C372" t="s">
        <v>12</v>
      </c>
      <c r="D372" t="s">
        <v>1</v>
      </c>
      <c r="E372" t="s">
        <v>9</v>
      </c>
      <c r="F372" t="s">
        <v>23</v>
      </c>
    </row>
    <row r="373" spans="1:6" x14ac:dyDescent="0.3">
      <c r="A373">
        <v>372</v>
      </c>
      <c r="B373" t="s">
        <v>16</v>
      </c>
      <c r="C373" t="s">
        <v>7</v>
      </c>
      <c r="D373" t="s">
        <v>22</v>
      </c>
      <c r="E373" t="s">
        <v>21</v>
      </c>
      <c r="F373" t="s">
        <v>20</v>
      </c>
    </row>
    <row r="374" spans="1:6" x14ac:dyDescent="0.3">
      <c r="A374">
        <v>373</v>
      </c>
      <c r="B374" t="s">
        <v>6</v>
      </c>
      <c r="C374" t="s">
        <v>12</v>
      </c>
      <c r="D374" t="s">
        <v>22</v>
      </c>
      <c r="E374" t="s">
        <v>9</v>
      </c>
      <c r="F374" t="s">
        <v>13</v>
      </c>
    </row>
    <row r="375" spans="1:6" x14ac:dyDescent="0.3">
      <c r="A375">
        <v>374</v>
      </c>
      <c r="B375" t="s">
        <v>18</v>
      </c>
      <c r="C375" t="s">
        <v>7</v>
      </c>
      <c r="D375" t="s">
        <v>8</v>
      </c>
      <c r="E375" t="s">
        <v>21</v>
      </c>
      <c r="F375" t="s">
        <v>23</v>
      </c>
    </row>
    <row r="376" spans="1:6" x14ac:dyDescent="0.3">
      <c r="A376">
        <v>375</v>
      </c>
      <c r="B376" t="s">
        <v>14</v>
      </c>
      <c r="C376" t="s">
        <v>12</v>
      </c>
      <c r="D376" t="s">
        <v>22</v>
      </c>
      <c r="E376" t="s">
        <v>15</v>
      </c>
      <c r="F376" t="s">
        <v>20</v>
      </c>
    </row>
    <row r="377" spans="1:6" x14ac:dyDescent="0.3">
      <c r="A377">
        <v>376</v>
      </c>
      <c r="B377" t="s">
        <v>6</v>
      </c>
      <c r="C377" t="s">
        <v>7</v>
      </c>
      <c r="D377" t="s">
        <v>22</v>
      </c>
      <c r="E377" t="s">
        <v>19</v>
      </c>
      <c r="F377" t="s">
        <v>10</v>
      </c>
    </row>
    <row r="378" spans="1:6" x14ac:dyDescent="0.3">
      <c r="A378">
        <v>377</v>
      </c>
      <c r="B378" t="s">
        <v>14</v>
      </c>
      <c r="C378" t="s">
        <v>7</v>
      </c>
      <c r="D378" t="s">
        <v>8</v>
      </c>
      <c r="E378" t="s">
        <v>9</v>
      </c>
      <c r="F378" t="s">
        <v>10</v>
      </c>
    </row>
    <row r="379" spans="1:6" x14ac:dyDescent="0.3">
      <c r="A379">
        <v>378</v>
      </c>
      <c r="B379" t="s">
        <v>25</v>
      </c>
      <c r="C379" t="s">
        <v>12</v>
      </c>
      <c r="D379" t="s">
        <v>1</v>
      </c>
      <c r="E379" t="s">
        <v>21</v>
      </c>
      <c r="F379" t="s">
        <v>13</v>
      </c>
    </row>
    <row r="380" spans="1:6" x14ac:dyDescent="0.3">
      <c r="A380">
        <v>379</v>
      </c>
      <c r="B380" t="s">
        <v>16</v>
      </c>
      <c r="C380" t="s">
        <v>12</v>
      </c>
      <c r="D380" t="s">
        <v>1</v>
      </c>
      <c r="E380" t="s">
        <v>19</v>
      </c>
      <c r="F380" t="s">
        <v>10</v>
      </c>
    </row>
    <row r="381" spans="1:6" x14ac:dyDescent="0.3">
      <c r="A381">
        <v>380</v>
      </c>
      <c r="B381" t="s">
        <v>25</v>
      </c>
      <c r="C381" t="s">
        <v>12</v>
      </c>
      <c r="D381" t="s">
        <v>8</v>
      </c>
      <c r="E381" t="s">
        <v>9</v>
      </c>
      <c r="F381" t="s">
        <v>10</v>
      </c>
    </row>
    <row r="382" spans="1:6" x14ac:dyDescent="0.3">
      <c r="A382">
        <v>381</v>
      </c>
      <c r="B382" t="s">
        <v>11</v>
      </c>
      <c r="C382" t="s">
        <v>7</v>
      </c>
      <c r="D382" t="s">
        <v>8</v>
      </c>
      <c r="E382" t="s">
        <v>19</v>
      </c>
      <c r="F382" t="s">
        <v>13</v>
      </c>
    </row>
    <row r="383" spans="1:6" x14ac:dyDescent="0.3">
      <c r="A383">
        <v>382</v>
      </c>
      <c r="B383" t="s">
        <v>11</v>
      </c>
      <c r="C383" t="s">
        <v>12</v>
      </c>
      <c r="D383" t="s">
        <v>22</v>
      </c>
      <c r="E383" t="s">
        <v>9</v>
      </c>
      <c r="F383" t="s">
        <v>20</v>
      </c>
    </row>
    <row r="384" spans="1:6" x14ac:dyDescent="0.3">
      <c r="A384">
        <v>383</v>
      </c>
      <c r="B384" t="s">
        <v>18</v>
      </c>
      <c r="C384" t="s">
        <v>12</v>
      </c>
      <c r="D384" t="s">
        <v>8</v>
      </c>
      <c r="E384" t="s">
        <v>19</v>
      </c>
      <c r="F384" t="s">
        <v>20</v>
      </c>
    </row>
    <row r="385" spans="1:6" x14ac:dyDescent="0.3">
      <c r="A385">
        <v>384</v>
      </c>
      <c r="B385" t="s">
        <v>14</v>
      </c>
      <c r="C385" t="s">
        <v>12</v>
      </c>
      <c r="D385" t="s">
        <v>1</v>
      </c>
      <c r="E385" t="s">
        <v>15</v>
      </c>
      <c r="F385" t="s">
        <v>20</v>
      </c>
    </row>
    <row r="386" spans="1:6" x14ac:dyDescent="0.3">
      <c r="A386">
        <v>385</v>
      </c>
      <c r="B386" t="s">
        <v>14</v>
      </c>
      <c r="C386" t="s">
        <v>12</v>
      </c>
      <c r="D386" t="s">
        <v>8</v>
      </c>
      <c r="E386" t="s">
        <v>19</v>
      </c>
      <c r="F386" t="s">
        <v>23</v>
      </c>
    </row>
    <row r="387" spans="1:6" x14ac:dyDescent="0.3">
      <c r="A387">
        <v>386</v>
      </c>
      <c r="B387" t="s">
        <v>6</v>
      </c>
      <c r="C387" t="s">
        <v>12</v>
      </c>
      <c r="D387" t="s">
        <v>8</v>
      </c>
      <c r="E387" t="s">
        <v>19</v>
      </c>
      <c r="F387" t="s">
        <v>20</v>
      </c>
    </row>
    <row r="388" spans="1:6" x14ac:dyDescent="0.3">
      <c r="A388">
        <v>387</v>
      </c>
      <c r="B388" t="s">
        <v>6</v>
      </c>
      <c r="C388" t="s">
        <v>12</v>
      </c>
      <c r="D388" t="s">
        <v>1</v>
      </c>
      <c r="E388" t="s">
        <v>21</v>
      </c>
      <c r="F388" t="s">
        <v>13</v>
      </c>
    </row>
    <row r="389" spans="1:6" x14ac:dyDescent="0.3">
      <c r="A389">
        <v>388</v>
      </c>
      <c r="B389" t="s">
        <v>6</v>
      </c>
      <c r="C389" t="s">
        <v>7</v>
      </c>
      <c r="D389" t="s">
        <v>22</v>
      </c>
      <c r="E389" t="s">
        <v>19</v>
      </c>
      <c r="F389" t="s">
        <v>10</v>
      </c>
    </row>
    <row r="390" spans="1:6" x14ac:dyDescent="0.3">
      <c r="A390">
        <v>389</v>
      </c>
      <c r="B390" t="s">
        <v>18</v>
      </c>
      <c r="C390" t="s">
        <v>7</v>
      </c>
      <c r="D390" t="s">
        <v>1</v>
      </c>
      <c r="E390" t="s">
        <v>19</v>
      </c>
      <c r="F390" t="s">
        <v>10</v>
      </c>
    </row>
    <row r="391" spans="1:6" x14ac:dyDescent="0.3">
      <c r="A391">
        <v>390</v>
      </c>
      <c r="B391" t="s">
        <v>14</v>
      </c>
      <c r="C391" t="s">
        <v>7</v>
      </c>
      <c r="D391" t="s">
        <v>22</v>
      </c>
      <c r="E391" t="s">
        <v>19</v>
      </c>
      <c r="F391" t="s">
        <v>10</v>
      </c>
    </row>
    <row r="392" spans="1:6" x14ac:dyDescent="0.3">
      <c r="A392">
        <v>391</v>
      </c>
      <c r="B392" t="s">
        <v>11</v>
      </c>
      <c r="C392" t="s">
        <v>7</v>
      </c>
      <c r="D392" t="s">
        <v>22</v>
      </c>
      <c r="E392" t="s">
        <v>15</v>
      </c>
      <c r="F392" t="s">
        <v>20</v>
      </c>
    </row>
    <row r="393" spans="1:6" x14ac:dyDescent="0.3">
      <c r="A393">
        <v>392</v>
      </c>
      <c r="B393" t="s">
        <v>18</v>
      </c>
      <c r="C393" t="s">
        <v>7</v>
      </c>
      <c r="D393" t="s">
        <v>8</v>
      </c>
      <c r="E393" t="s">
        <v>19</v>
      </c>
      <c r="F393" t="s">
        <v>13</v>
      </c>
    </row>
    <row r="394" spans="1:6" x14ac:dyDescent="0.3">
      <c r="A394">
        <v>393</v>
      </c>
      <c r="B394" t="s">
        <v>16</v>
      </c>
      <c r="C394" t="s">
        <v>7</v>
      </c>
      <c r="D394" t="s">
        <v>1</v>
      </c>
      <c r="E394" t="s">
        <v>21</v>
      </c>
      <c r="F394" t="s">
        <v>23</v>
      </c>
    </row>
    <row r="395" spans="1:6" x14ac:dyDescent="0.3">
      <c r="A395">
        <v>394</v>
      </c>
      <c r="B395" t="s">
        <v>16</v>
      </c>
      <c r="C395" t="s">
        <v>7</v>
      </c>
      <c r="D395" t="s">
        <v>8</v>
      </c>
      <c r="E395" t="s">
        <v>9</v>
      </c>
      <c r="F395" t="s">
        <v>20</v>
      </c>
    </row>
    <row r="396" spans="1:6" x14ac:dyDescent="0.3">
      <c r="A396">
        <v>395</v>
      </c>
      <c r="B396" t="s">
        <v>14</v>
      </c>
      <c r="C396" t="s">
        <v>12</v>
      </c>
      <c r="D396" t="s">
        <v>8</v>
      </c>
      <c r="E396" t="s">
        <v>15</v>
      </c>
      <c r="F396" t="s">
        <v>13</v>
      </c>
    </row>
    <row r="397" spans="1:6" x14ac:dyDescent="0.3">
      <c r="A397">
        <v>396</v>
      </c>
      <c r="B397" t="s">
        <v>18</v>
      </c>
      <c r="C397" t="s">
        <v>12</v>
      </c>
      <c r="D397" t="s">
        <v>1</v>
      </c>
      <c r="E397" t="s">
        <v>21</v>
      </c>
      <c r="F397" t="s">
        <v>23</v>
      </c>
    </row>
    <row r="398" spans="1:6" x14ac:dyDescent="0.3">
      <c r="A398">
        <v>397</v>
      </c>
      <c r="B398" t="s">
        <v>18</v>
      </c>
      <c r="C398" t="s">
        <v>12</v>
      </c>
      <c r="D398" t="s">
        <v>8</v>
      </c>
      <c r="E398" t="s">
        <v>19</v>
      </c>
      <c r="F398" t="s">
        <v>23</v>
      </c>
    </row>
    <row r="399" spans="1:6" x14ac:dyDescent="0.3">
      <c r="A399">
        <v>398</v>
      </c>
      <c r="B399" t="s">
        <v>25</v>
      </c>
      <c r="C399" t="s">
        <v>24</v>
      </c>
      <c r="D399" t="s">
        <v>1</v>
      </c>
      <c r="E399" t="s">
        <v>15</v>
      </c>
      <c r="F399" t="s">
        <v>13</v>
      </c>
    </row>
    <row r="400" spans="1:6" x14ac:dyDescent="0.3">
      <c r="A400">
        <v>399</v>
      </c>
      <c r="B400" t="s">
        <v>25</v>
      </c>
      <c r="C400" t="s">
        <v>12</v>
      </c>
      <c r="D400" t="s">
        <v>8</v>
      </c>
      <c r="E400" t="s">
        <v>19</v>
      </c>
      <c r="F400" t="s">
        <v>23</v>
      </c>
    </row>
    <row r="401" spans="1:6" x14ac:dyDescent="0.3">
      <c r="A401">
        <v>400</v>
      </c>
      <c r="B401" t="s">
        <v>14</v>
      </c>
      <c r="C401" t="s">
        <v>12</v>
      </c>
      <c r="D401" t="s">
        <v>8</v>
      </c>
      <c r="E401" t="s">
        <v>9</v>
      </c>
      <c r="F401" t="s">
        <v>20</v>
      </c>
    </row>
    <row r="402" spans="1:6" x14ac:dyDescent="0.3">
      <c r="A402">
        <v>401</v>
      </c>
      <c r="B402" t="s">
        <v>14</v>
      </c>
      <c r="C402" t="s">
        <v>12</v>
      </c>
      <c r="D402" t="s">
        <v>22</v>
      </c>
      <c r="E402" t="s">
        <v>17</v>
      </c>
      <c r="F402" t="s">
        <v>10</v>
      </c>
    </row>
    <row r="403" spans="1:6" x14ac:dyDescent="0.3">
      <c r="A403">
        <v>402</v>
      </c>
      <c r="B403" t="s">
        <v>18</v>
      </c>
      <c r="C403" t="s">
        <v>12</v>
      </c>
      <c r="D403" t="s">
        <v>8</v>
      </c>
      <c r="E403" t="s">
        <v>19</v>
      </c>
      <c r="F403" t="s">
        <v>20</v>
      </c>
    </row>
    <row r="404" spans="1:6" x14ac:dyDescent="0.3">
      <c r="A404">
        <v>403</v>
      </c>
      <c r="B404" t="s">
        <v>18</v>
      </c>
      <c r="C404" t="s">
        <v>7</v>
      </c>
      <c r="D404" t="s">
        <v>1</v>
      </c>
      <c r="E404" t="s">
        <v>21</v>
      </c>
      <c r="F404" t="s">
        <v>13</v>
      </c>
    </row>
    <row r="405" spans="1:6" x14ac:dyDescent="0.3">
      <c r="A405">
        <v>404</v>
      </c>
      <c r="B405" t="s">
        <v>16</v>
      </c>
      <c r="C405" t="s">
        <v>12</v>
      </c>
      <c r="D405" t="s">
        <v>1</v>
      </c>
      <c r="E405" t="s">
        <v>17</v>
      </c>
      <c r="F405" t="s">
        <v>10</v>
      </c>
    </row>
    <row r="406" spans="1:6" x14ac:dyDescent="0.3">
      <c r="A406">
        <v>405</v>
      </c>
      <c r="B406" t="s">
        <v>16</v>
      </c>
      <c r="C406" t="s">
        <v>7</v>
      </c>
      <c r="D406" t="s">
        <v>8</v>
      </c>
      <c r="E406" t="s">
        <v>9</v>
      </c>
      <c r="F406" t="s">
        <v>10</v>
      </c>
    </row>
    <row r="407" spans="1:6" x14ac:dyDescent="0.3">
      <c r="A407">
        <v>406</v>
      </c>
      <c r="B407" t="s">
        <v>25</v>
      </c>
      <c r="C407" t="s">
        <v>24</v>
      </c>
      <c r="D407" t="s">
        <v>22</v>
      </c>
      <c r="E407" t="s">
        <v>15</v>
      </c>
      <c r="F407" t="s">
        <v>20</v>
      </c>
    </row>
    <row r="408" spans="1:6" x14ac:dyDescent="0.3">
      <c r="A408">
        <v>407</v>
      </c>
      <c r="B408" t="s">
        <v>16</v>
      </c>
      <c r="C408" t="s">
        <v>12</v>
      </c>
      <c r="D408" t="s">
        <v>22</v>
      </c>
      <c r="E408" t="s">
        <v>15</v>
      </c>
      <c r="F408" t="s">
        <v>23</v>
      </c>
    </row>
    <row r="409" spans="1:6" x14ac:dyDescent="0.3">
      <c r="A409">
        <v>408</v>
      </c>
      <c r="B409" t="s">
        <v>11</v>
      </c>
      <c r="C409" t="s">
        <v>12</v>
      </c>
      <c r="D409" t="s">
        <v>1</v>
      </c>
      <c r="E409" t="s">
        <v>21</v>
      </c>
      <c r="F409" t="s">
        <v>13</v>
      </c>
    </row>
    <row r="410" spans="1:6" x14ac:dyDescent="0.3">
      <c r="A410">
        <v>409</v>
      </c>
      <c r="B410" t="s">
        <v>16</v>
      </c>
      <c r="C410" t="s">
        <v>12</v>
      </c>
      <c r="D410" t="s">
        <v>22</v>
      </c>
      <c r="E410" t="s">
        <v>9</v>
      </c>
      <c r="F410" t="s">
        <v>10</v>
      </c>
    </row>
    <row r="411" spans="1:6" x14ac:dyDescent="0.3">
      <c r="A411">
        <v>410</v>
      </c>
      <c r="B411" t="s">
        <v>18</v>
      </c>
      <c r="C411" t="s">
        <v>12</v>
      </c>
      <c r="D411" t="s">
        <v>1</v>
      </c>
      <c r="E411" t="s">
        <v>9</v>
      </c>
      <c r="F411" t="s">
        <v>20</v>
      </c>
    </row>
    <row r="412" spans="1:6" x14ac:dyDescent="0.3">
      <c r="A412">
        <v>411</v>
      </c>
      <c r="B412" t="s">
        <v>14</v>
      </c>
      <c r="C412" t="s">
        <v>7</v>
      </c>
      <c r="D412" t="s">
        <v>22</v>
      </c>
      <c r="E412" t="s">
        <v>15</v>
      </c>
      <c r="F412" t="s">
        <v>20</v>
      </c>
    </row>
    <row r="413" spans="1:6" x14ac:dyDescent="0.3">
      <c r="A413">
        <v>412</v>
      </c>
      <c r="B413" t="s">
        <v>18</v>
      </c>
      <c r="C413" t="s">
        <v>12</v>
      </c>
      <c r="D413" t="s">
        <v>1</v>
      </c>
      <c r="E413" t="s">
        <v>9</v>
      </c>
      <c r="F413" t="s">
        <v>13</v>
      </c>
    </row>
    <row r="414" spans="1:6" x14ac:dyDescent="0.3">
      <c r="A414">
        <v>413</v>
      </c>
      <c r="B414" t="s">
        <v>6</v>
      </c>
      <c r="C414" t="s">
        <v>12</v>
      </c>
      <c r="D414" t="s">
        <v>1</v>
      </c>
      <c r="E414" t="s">
        <v>17</v>
      </c>
      <c r="F414" t="s">
        <v>10</v>
      </c>
    </row>
    <row r="415" spans="1:6" x14ac:dyDescent="0.3">
      <c r="A415">
        <v>414</v>
      </c>
      <c r="B415" t="s">
        <v>6</v>
      </c>
      <c r="C415" t="s">
        <v>7</v>
      </c>
      <c r="D415" t="s">
        <v>8</v>
      </c>
      <c r="E415" t="s">
        <v>9</v>
      </c>
      <c r="F415" t="s">
        <v>10</v>
      </c>
    </row>
    <row r="416" spans="1:6" x14ac:dyDescent="0.3">
      <c r="A416">
        <v>415</v>
      </c>
      <c r="B416" t="s">
        <v>25</v>
      </c>
      <c r="C416" t="s">
        <v>24</v>
      </c>
      <c r="D416" t="s">
        <v>22</v>
      </c>
      <c r="E416" t="s">
        <v>15</v>
      </c>
      <c r="F416" t="s">
        <v>20</v>
      </c>
    </row>
    <row r="417" spans="1:6" x14ac:dyDescent="0.3">
      <c r="A417">
        <v>416</v>
      </c>
      <c r="B417" t="s">
        <v>11</v>
      </c>
      <c r="C417" t="s">
        <v>12</v>
      </c>
      <c r="D417" t="s">
        <v>8</v>
      </c>
      <c r="E417" t="s">
        <v>19</v>
      </c>
      <c r="F417" t="s">
        <v>20</v>
      </c>
    </row>
    <row r="418" spans="1:6" x14ac:dyDescent="0.3">
      <c r="A418">
        <v>417</v>
      </c>
      <c r="B418" t="s">
        <v>11</v>
      </c>
      <c r="C418" t="s">
        <v>7</v>
      </c>
      <c r="D418" t="s">
        <v>22</v>
      </c>
      <c r="E418" t="s">
        <v>21</v>
      </c>
      <c r="F418" t="s">
        <v>20</v>
      </c>
    </row>
    <row r="419" spans="1:6" x14ac:dyDescent="0.3">
      <c r="A419">
        <v>418</v>
      </c>
      <c r="B419" t="s">
        <v>16</v>
      </c>
      <c r="C419" t="s">
        <v>7</v>
      </c>
      <c r="D419" t="s">
        <v>1</v>
      </c>
      <c r="E419" t="s">
        <v>9</v>
      </c>
      <c r="F419" t="s">
        <v>20</v>
      </c>
    </row>
    <row r="420" spans="1:6" x14ac:dyDescent="0.3">
      <c r="A420">
        <v>419</v>
      </c>
      <c r="B420" t="s">
        <v>25</v>
      </c>
      <c r="C420" t="s">
        <v>7</v>
      </c>
      <c r="D420" t="s">
        <v>8</v>
      </c>
      <c r="E420" t="s">
        <v>19</v>
      </c>
      <c r="F420" t="s">
        <v>13</v>
      </c>
    </row>
    <row r="421" spans="1:6" x14ac:dyDescent="0.3">
      <c r="A421">
        <v>420</v>
      </c>
      <c r="B421" t="s">
        <v>14</v>
      </c>
      <c r="C421" t="s">
        <v>12</v>
      </c>
      <c r="D421" t="s">
        <v>22</v>
      </c>
      <c r="E421" t="s">
        <v>21</v>
      </c>
      <c r="F421" t="s">
        <v>23</v>
      </c>
    </row>
    <row r="422" spans="1:6" x14ac:dyDescent="0.3">
      <c r="A422">
        <v>421</v>
      </c>
      <c r="B422" t="s">
        <v>18</v>
      </c>
      <c r="C422" t="s">
        <v>12</v>
      </c>
      <c r="D422" t="s">
        <v>8</v>
      </c>
      <c r="E422" t="s">
        <v>19</v>
      </c>
      <c r="F422" t="s">
        <v>20</v>
      </c>
    </row>
    <row r="423" spans="1:6" x14ac:dyDescent="0.3">
      <c r="A423">
        <v>422</v>
      </c>
      <c r="B423" t="s">
        <v>25</v>
      </c>
      <c r="C423" t="s">
        <v>7</v>
      </c>
      <c r="D423" t="s">
        <v>22</v>
      </c>
      <c r="E423" t="s">
        <v>9</v>
      </c>
      <c r="F423" t="s">
        <v>23</v>
      </c>
    </row>
    <row r="424" spans="1:6" x14ac:dyDescent="0.3">
      <c r="A424">
        <v>423</v>
      </c>
      <c r="B424" t="s">
        <v>11</v>
      </c>
      <c r="C424" t="s">
        <v>24</v>
      </c>
      <c r="D424" t="s">
        <v>1</v>
      </c>
      <c r="E424" t="s">
        <v>17</v>
      </c>
      <c r="F424" t="s">
        <v>10</v>
      </c>
    </row>
    <row r="425" spans="1:6" x14ac:dyDescent="0.3">
      <c r="A425">
        <v>424</v>
      </c>
      <c r="B425" t="s">
        <v>14</v>
      </c>
      <c r="C425" t="s">
        <v>12</v>
      </c>
      <c r="D425" t="s">
        <v>8</v>
      </c>
      <c r="E425" t="s">
        <v>19</v>
      </c>
      <c r="F425" t="s">
        <v>23</v>
      </c>
    </row>
    <row r="426" spans="1:6" x14ac:dyDescent="0.3">
      <c r="A426">
        <v>425</v>
      </c>
      <c r="B426" t="s">
        <v>25</v>
      </c>
      <c r="C426" t="s">
        <v>7</v>
      </c>
      <c r="D426" t="s">
        <v>22</v>
      </c>
      <c r="E426" t="s">
        <v>9</v>
      </c>
      <c r="F426" t="s">
        <v>23</v>
      </c>
    </row>
    <row r="427" spans="1:6" x14ac:dyDescent="0.3">
      <c r="A427">
        <v>426</v>
      </c>
      <c r="B427" t="s">
        <v>6</v>
      </c>
      <c r="C427" t="s">
        <v>12</v>
      </c>
      <c r="D427" t="s">
        <v>8</v>
      </c>
      <c r="E427" t="s">
        <v>19</v>
      </c>
      <c r="F427" t="s">
        <v>23</v>
      </c>
    </row>
    <row r="428" spans="1:6" x14ac:dyDescent="0.3">
      <c r="A428">
        <v>427</v>
      </c>
      <c r="B428" t="s">
        <v>25</v>
      </c>
      <c r="C428" t="s">
        <v>24</v>
      </c>
      <c r="D428" t="s">
        <v>22</v>
      </c>
      <c r="E428" t="s">
        <v>15</v>
      </c>
      <c r="F428" t="s">
        <v>23</v>
      </c>
    </row>
    <row r="429" spans="1:6" x14ac:dyDescent="0.3">
      <c r="A429">
        <v>428</v>
      </c>
      <c r="B429" t="s">
        <v>11</v>
      </c>
      <c r="C429" t="s">
        <v>12</v>
      </c>
      <c r="D429" t="s">
        <v>1</v>
      </c>
      <c r="E429" t="s">
        <v>21</v>
      </c>
      <c r="F429" t="s">
        <v>13</v>
      </c>
    </row>
    <row r="430" spans="1:6" x14ac:dyDescent="0.3">
      <c r="A430">
        <v>429</v>
      </c>
      <c r="B430" t="s">
        <v>18</v>
      </c>
      <c r="C430" t="s">
        <v>7</v>
      </c>
      <c r="D430" t="s">
        <v>22</v>
      </c>
      <c r="E430" t="s">
        <v>21</v>
      </c>
      <c r="F430" t="s">
        <v>13</v>
      </c>
    </row>
    <row r="431" spans="1:6" x14ac:dyDescent="0.3">
      <c r="A431">
        <v>430</v>
      </c>
      <c r="B431" t="s">
        <v>14</v>
      </c>
      <c r="C431" t="s">
        <v>7</v>
      </c>
      <c r="D431" t="s">
        <v>1</v>
      </c>
      <c r="E431" t="s">
        <v>21</v>
      </c>
      <c r="F431" t="s">
        <v>23</v>
      </c>
    </row>
    <row r="432" spans="1:6" x14ac:dyDescent="0.3">
      <c r="A432">
        <v>431</v>
      </c>
      <c r="B432" t="s">
        <v>11</v>
      </c>
      <c r="C432" t="s">
        <v>7</v>
      </c>
      <c r="D432" t="s">
        <v>8</v>
      </c>
      <c r="E432" t="s">
        <v>19</v>
      </c>
      <c r="F432" t="s">
        <v>23</v>
      </c>
    </row>
    <row r="433" spans="1:6" x14ac:dyDescent="0.3">
      <c r="A433">
        <v>432</v>
      </c>
      <c r="B433" t="s">
        <v>6</v>
      </c>
      <c r="C433" t="s">
        <v>12</v>
      </c>
      <c r="D433" t="s">
        <v>8</v>
      </c>
      <c r="E433" t="s">
        <v>19</v>
      </c>
      <c r="F433" t="s">
        <v>23</v>
      </c>
    </row>
    <row r="434" spans="1:6" x14ac:dyDescent="0.3">
      <c r="A434">
        <v>433</v>
      </c>
      <c r="B434" t="s">
        <v>14</v>
      </c>
      <c r="C434" t="s">
        <v>7</v>
      </c>
      <c r="D434" t="s">
        <v>22</v>
      </c>
      <c r="E434" t="s">
        <v>9</v>
      </c>
      <c r="F434" t="s">
        <v>13</v>
      </c>
    </row>
    <row r="435" spans="1:6" x14ac:dyDescent="0.3">
      <c r="A435">
        <v>434</v>
      </c>
      <c r="B435" t="s">
        <v>18</v>
      </c>
      <c r="C435" t="s">
        <v>12</v>
      </c>
      <c r="D435" t="s">
        <v>8</v>
      </c>
      <c r="E435" t="s">
        <v>19</v>
      </c>
      <c r="F435" t="s">
        <v>10</v>
      </c>
    </row>
    <row r="436" spans="1:6" x14ac:dyDescent="0.3">
      <c r="A436">
        <v>435</v>
      </c>
      <c r="B436" t="s">
        <v>25</v>
      </c>
      <c r="C436" t="s">
        <v>12</v>
      </c>
      <c r="D436" t="s">
        <v>22</v>
      </c>
      <c r="E436" t="s">
        <v>21</v>
      </c>
      <c r="F436" t="s">
        <v>23</v>
      </c>
    </row>
    <row r="437" spans="1:6" x14ac:dyDescent="0.3">
      <c r="A437">
        <v>436</v>
      </c>
      <c r="B437" t="s">
        <v>25</v>
      </c>
      <c r="C437" t="s">
        <v>12</v>
      </c>
      <c r="D437" t="s">
        <v>22</v>
      </c>
      <c r="E437" t="s">
        <v>21</v>
      </c>
      <c r="F437" t="s">
        <v>20</v>
      </c>
    </row>
    <row r="438" spans="1:6" x14ac:dyDescent="0.3">
      <c r="A438">
        <v>437</v>
      </c>
      <c r="B438" t="s">
        <v>16</v>
      </c>
      <c r="C438" t="s">
        <v>7</v>
      </c>
      <c r="D438" t="s">
        <v>8</v>
      </c>
      <c r="E438" t="s">
        <v>9</v>
      </c>
      <c r="F438" t="s">
        <v>23</v>
      </c>
    </row>
    <row r="439" spans="1:6" x14ac:dyDescent="0.3">
      <c r="A439">
        <v>438</v>
      </c>
      <c r="B439" t="s">
        <v>16</v>
      </c>
      <c r="C439" t="s">
        <v>12</v>
      </c>
      <c r="D439" t="s">
        <v>22</v>
      </c>
      <c r="E439" t="s">
        <v>21</v>
      </c>
      <c r="F439" t="s">
        <v>13</v>
      </c>
    </row>
    <row r="440" spans="1:6" x14ac:dyDescent="0.3">
      <c r="A440">
        <v>439</v>
      </c>
      <c r="B440" t="s">
        <v>11</v>
      </c>
      <c r="C440" t="s">
        <v>24</v>
      </c>
      <c r="D440" t="s">
        <v>22</v>
      </c>
      <c r="E440" t="s">
        <v>15</v>
      </c>
      <c r="F440" t="s">
        <v>13</v>
      </c>
    </row>
    <row r="441" spans="1:6" x14ac:dyDescent="0.3">
      <c r="A441">
        <v>440</v>
      </c>
      <c r="B441" t="s">
        <v>16</v>
      </c>
      <c r="C441" t="s">
        <v>24</v>
      </c>
      <c r="D441" t="s">
        <v>8</v>
      </c>
      <c r="E441" t="s">
        <v>15</v>
      </c>
      <c r="F441" t="s">
        <v>20</v>
      </c>
    </row>
    <row r="442" spans="1:6" x14ac:dyDescent="0.3">
      <c r="A442">
        <v>441</v>
      </c>
      <c r="B442" t="s">
        <v>25</v>
      </c>
      <c r="C442" t="s">
        <v>7</v>
      </c>
      <c r="D442" t="s">
        <v>8</v>
      </c>
      <c r="E442" t="s">
        <v>9</v>
      </c>
      <c r="F442" t="s">
        <v>23</v>
      </c>
    </row>
    <row r="443" spans="1:6" x14ac:dyDescent="0.3">
      <c r="A443">
        <v>442</v>
      </c>
      <c r="B443" t="s">
        <v>11</v>
      </c>
      <c r="C443" t="s">
        <v>7</v>
      </c>
      <c r="D443" t="s">
        <v>1</v>
      </c>
      <c r="E443" t="s">
        <v>15</v>
      </c>
      <c r="F443" t="s">
        <v>23</v>
      </c>
    </row>
    <row r="444" spans="1:6" x14ac:dyDescent="0.3">
      <c r="A444">
        <v>443</v>
      </c>
      <c r="B444" t="s">
        <v>18</v>
      </c>
      <c r="C444" t="s">
        <v>12</v>
      </c>
      <c r="D444" t="s">
        <v>8</v>
      </c>
      <c r="E444" t="s">
        <v>21</v>
      </c>
      <c r="F444" t="s">
        <v>23</v>
      </c>
    </row>
    <row r="445" spans="1:6" x14ac:dyDescent="0.3">
      <c r="A445">
        <v>444</v>
      </c>
      <c r="B445" t="s">
        <v>6</v>
      </c>
      <c r="C445" t="s">
        <v>7</v>
      </c>
      <c r="D445" t="s">
        <v>22</v>
      </c>
      <c r="E445" t="s">
        <v>9</v>
      </c>
      <c r="F445" t="s">
        <v>23</v>
      </c>
    </row>
    <row r="446" spans="1:6" x14ac:dyDescent="0.3">
      <c r="A446">
        <v>445</v>
      </c>
      <c r="B446" t="s">
        <v>6</v>
      </c>
      <c r="C446" t="s">
        <v>12</v>
      </c>
      <c r="D446" t="s">
        <v>22</v>
      </c>
      <c r="E446" t="s">
        <v>21</v>
      </c>
      <c r="F446" t="s">
        <v>23</v>
      </c>
    </row>
    <row r="447" spans="1:6" x14ac:dyDescent="0.3">
      <c r="A447">
        <v>446</v>
      </c>
      <c r="B447" t="s">
        <v>6</v>
      </c>
      <c r="C447" t="s">
        <v>24</v>
      </c>
      <c r="D447" t="s">
        <v>1</v>
      </c>
      <c r="E447" t="s">
        <v>15</v>
      </c>
      <c r="F447" t="s">
        <v>13</v>
      </c>
    </row>
    <row r="448" spans="1:6" x14ac:dyDescent="0.3">
      <c r="A448">
        <v>447</v>
      </c>
      <c r="B448" t="s">
        <v>16</v>
      </c>
      <c r="C448" t="s">
        <v>12</v>
      </c>
      <c r="D448" t="s">
        <v>1</v>
      </c>
      <c r="E448" t="s">
        <v>21</v>
      </c>
      <c r="F448" t="s">
        <v>13</v>
      </c>
    </row>
    <row r="449" spans="1:6" x14ac:dyDescent="0.3">
      <c r="A449">
        <v>448</v>
      </c>
      <c r="B449" t="s">
        <v>25</v>
      </c>
      <c r="C449" t="s">
        <v>7</v>
      </c>
      <c r="D449" t="s">
        <v>1</v>
      </c>
      <c r="E449" t="s">
        <v>15</v>
      </c>
      <c r="F449" t="s">
        <v>13</v>
      </c>
    </row>
    <row r="450" spans="1:6" x14ac:dyDescent="0.3">
      <c r="A450">
        <v>449</v>
      </c>
      <c r="B450" t="s">
        <v>25</v>
      </c>
      <c r="C450" t="s">
        <v>12</v>
      </c>
      <c r="D450" t="s">
        <v>1</v>
      </c>
      <c r="E450" t="s">
        <v>15</v>
      </c>
      <c r="F450" t="s">
        <v>23</v>
      </c>
    </row>
    <row r="451" spans="1:6" x14ac:dyDescent="0.3">
      <c r="A451">
        <v>450</v>
      </c>
      <c r="B451" t="s">
        <v>11</v>
      </c>
      <c r="C451" t="s">
        <v>7</v>
      </c>
      <c r="D451" t="s">
        <v>1</v>
      </c>
      <c r="E451" t="s">
        <v>15</v>
      </c>
      <c r="F451" t="s">
        <v>20</v>
      </c>
    </row>
    <row r="452" spans="1:6" x14ac:dyDescent="0.3">
      <c r="A452">
        <v>451</v>
      </c>
      <c r="B452" t="s">
        <v>25</v>
      </c>
      <c r="C452" t="s">
        <v>12</v>
      </c>
      <c r="D452" t="s">
        <v>1</v>
      </c>
      <c r="E452" t="s">
        <v>15</v>
      </c>
      <c r="F452" t="s">
        <v>20</v>
      </c>
    </row>
    <row r="453" spans="1:6" x14ac:dyDescent="0.3">
      <c r="A453">
        <v>452</v>
      </c>
      <c r="B453" t="s">
        <v>6</v>
      </c>
      <c r="C453" t="s">
        <v>7</v>
      </c>
      <c r="D453" t="s">
        <v>22</v>
      </c>
      <c r="E453" t="s">
        <v>21</v>
      </c>
      <c r="F453" t="s">
        <v>13</v>
      </c>
    </row>
    <row r="454" spans="1:6" x14ac:dyDescent="0.3">
      <c r="A454">
        <v>453</v>
      </c>
      <c r="B454" t="s">
        <v>18</v>
      </c>
      <c r="C454" t="s">
        <v>12</v>
      </c>
      <c r="D454" t="s">
        <v>8</v>
      </c>
      <c r="E454" t="s">
        <v>21</v>
      </c>
      <c r="F454" t="s">
        <v>20</v>
      </c>
    </row>
    <row r="455" spans="1:6" x14ac:dyDescent="0.3">
      <c r="A455">
        <v>454</v>
      </c>
      <c r="B455" t="s">
        <v>6</v>
      </c>
      <c r="C455" t="s">
        <v>7</v>
      </c>
      <c r="D455" t="s">
        <v>8</v>
      </c>
      <c r="E455" t="s">
        <v>15</v>
      </c>
      <c r="F455" t="s">
        <v>20</v>
      </c>
    </row>
    <row r="456" spans="1:6" x14ac:dyDescent="0.3">
      <c r="A456">
        <v>455</v>
      </c>
      <c r="B456" t="s">
        <v>25</v>
      </c>
      <c r="C456" t="s">
        <v>12</v>
      </c>
      <c r="D456" t="s">
        <v>22</v>
      </c>
      <c r="E456" t="s">
        <v>15</v>
      </c>
      <c r="F456" t="s">
        <v>13</v>
      </c>
    </row>
    <row r="457" spans="1:6" x14ac:dyDescent="0.3">
      <c r="A457">
        <v>456</v>
      </c>
      <c r="B457" t="s">
        <v>6</v>
      </c>
      <c r="C457" t="s">
        <v>24</v>
      </c>
      <c r="D457" t="s">
        <v>8</v>
      </c>
      <c r="E457" t="s">
        <v>15</v>
      </c>
      <c r="F457" t="s">
        <v>23</v>
      </c>
    </row>
    <row r="458" spans="1:6" x14ac:dyDescent="0.3">
      <c r="A458">
        <v>457</v>
      </c>
      <c r="B458" t="s">
        <v>16</v>
      </c>
      <c r="C458" t="s">
        <v>12</v>
      </c>
      <c r="D458" t="s">
        <v>8</v>
      </c>
      <c r="E458" t="s">
        <v>19</v>
      </c>
      <c r="F458" t="s">
        <v>13</v>
      </c>
    </row>
    <row r="459" spans="1:6" x14ac:dyDescent="0.3">
      <c r="A459">
        <v>458</v>
      </c>
      <c r="B459" t="s">
        <v>16</v>
      </c>
      <c r="C459" t="s">
        <v>12</v>
      </c>
      <c r="D459" t="s">
        <v>8</v>
      </c>
      <c r="E459" t="s">
        <v>9</v>
      </c>
      <c r="F459" t="s">
        <v>10</v>
      </c>
    </row>
    <row r="460" spans="1:6" x14ac:dyDescent="0.3">
      <c r="A460">
        <v>459</v>
      </c>
      <c r="B460" t="s">
        <v>14</v>
      </c>
      <c r="C460" t="s">
        <v>12</v>
      </c>
      <c r="D460" t="s">
        <v>8</v>
      </c>
      <c r="E460" t="s">
        <v>19</v>
      </c>
      <c r="F460" t="s">
        <v>10</v>
      </c>
    </row>
    <row r="461" spans="1:6" x14ac:dyDescent="0.3">
      <c r="A461">
        <v>460</v>
      </c>
      <c r="B461" t="s">
        <v>18</v>
      </c>
      <c r="C461" t="s">
        <v>7</v>
      </c>
      <c r="D461" t="s">
        <v>1</v>
      </c>
      <c r="E461" t="s">
        <v>9</v>
      </c>
      <c r="F461" t="s">
        <v>23</v>
      </c>
    </row>
    <row r="462" spans="1:6" x14ac:dyDescent="0.3">
      <c r="A462">
        <v>461</v>
      </c>
      <c r="B462" t="s">
        <v>18</v>
      </c>
      <c r="C462" t="s">
        <v>12</v>
      </c>
      <c r="D462" t="s">
        <v>1</v>
      </c>
      <c r="E462" t="s">
        <v>17</v>
      </c>
      <c r="F462" t="s">
        <v>10</v>
      </c>
    </row>
    <row r="463" spans="1:6" x14ac:dyDescent="0.3">
      <c r="A463">
        <v>462</v>
      </c>
      <c r="B463" t="s">
        <v>11</v>
      </c>
      <c r="C463" t="s">
        <v>7</v>
      </c>
      <c r="D463" t="s">
        <v>8</v>
      </c>
      <c r="E463" t="s">
        <v>9</v>
      </c>
      <c r="F463" t="s">
        <v>10</v>
      </c>
    </row>
    <row r="464" spans="1:6" x14ac:dyDescent="0.3">
      <c r="A464">
        <v>463</v>
      </c>
      <c r="B464" t="s">
        <v>6</v>
      </c>
      <c r="C464" t="s">
        <v>24</v>
      </c>
      <c r="D464" t="s">
        <v>8</v>
      </c>
      <c r="E464" t="s">
        <v>15</v>
      </c>
      <c r="F464" t="s">
        <v>20</v>
      </c>
    </row>
    <row r="465" spans="1:6" x14ac:dyDescent="0.3">
      <c r="A465">
        <v>464</v>
      </c>
      <c r="B465" t="s">
        <v>25</v>
      </c>
      <c r="C465" t="s">
        <v>7</v>
      </c>
      <c r="D465" t="s">
        <v>1</v>
      </c>
      <c r="E465" t="s">
        <v>19</v>
      </c>
      <c r="F465" t="s">
        <v>10</v>
      </c>
    </row>
    <row r="466" spans="1:6" x14ac:dyDescent="0.3">
      <c r="A466">
        <v>465</v>
      </c>
      <c r="B466" t="s">
        <v>25</v>
      </c>
      <c r="C466" t="s">
        <v>7</v>
      </c>
      <c r="D466" t="s">
        <v>22</v>
      </c>
      <c r="E466" t="s">
        <v>17</v>
      </c>
      <c r="F466" t="s">
        <v>10</v>
      </c>
    </row>
    <row r="467" spans="1:6" x14ac:dyDescent="0.3">
      <c r="A467">
        <v>466</v>
      </c>
      <c r="B467" t="s">
        <v>25</v>
      </c>
      <c r="C467" t="s">
        <v>7</v>
      </c>
      <c r="D467" t="s">
        <v>1</v>
      </c>
      <c r="E467" t="s">
        <v>21</v>
      </c>
      <c r="F467" t="s">
        <v>20</v>
      </c>
    </row>
    <row r="468" spans="1:6" x14ac:dyDescent="0.3">
      <c r="A468">
        <v>467</v>
      </c>
      <c r="B468" t="s">
        <v>6</v>
      </c>
      <c r="C468" t="s">
        <v>12</v>
      </c>
      <c r="D468" t="s">
        <v>1</v>
      </c>
      <c r="E468" t="s">
        <v>21</v>
      </c>
      <c r="F468" t="s">
        <v>13</v>
      </c>
    </row>
    <row r="469" spans="1:6" x14ac:dyDescent="0.3">
      <c r="A469">
        <v>468</v>
      </c>
      <c r="B469" t="s">
        <v>18</v>
      </c>
      <c r="C469" t="s">
        <v>7</v>
      </c>
      <c r="D469" t="s">
        <v>8</v>
      </c>
      <c r="E469" t="s">
        <v>19</v>
      </c>
      <c r="F469" t="s">
        <v>10</v>
      </c>
    </row>
    <row r="470" spans="1:6" x14ac:dyDescent="0.3">
      <c r="A470">
        <v>469</v>
      </c>
      <c r="B470" t="s">
        <v>11</v>
      </c>
      <c r="C470" t="s">
        <v>12</v>
      </c>
      <c r="D470" t="s">
        <v>22</v>
      </c>
      <c r="E470" t="s">
        <v>19</v>
      </c>
      <c r="F470" t="s">
        <v>10</v>
      </c>
    </row>
    <row r="471" spans="1:6" x14ac:dyDescent="0.3">
      <c r="A471">
        <v>470</v>
      </c>
      <c r="B471" t="s">
        <v>14</v>
      </c>
      <c r="C471" t="s">
        <v>12</v>
      </c>
      <c r="D471" t="s">
        <v>22</v>
      </c>
      <c r="E471" t="s">
        <v>21</v>
      </c>
      <c r="F471" t="s">
        <v>13</v>
      </c>
    </row>
    <row r="472" spans="1:6" x14ac:dyDescent="0.3">
      <c r="A472">
        <v>471</v>
      </c>
      <c r="B472" t="s">
        <v>18</v>
      </c>
      <c r="C472" t="s">
        <v>12</v>
      </c>
      <c r="D472" t="s">
        <v>8</v>
      </c>
      <c r="E472" t="s">
        <v>19</v>
      </c>
      <c r="F472" t="s">
        <v>20</v>
      </c>
    </row>
    <row r="473" spans="1:6" x14ac:dyDescent="0.3">
      <c r="A473">
        <v>472</v>
      </c>
      <c r="B473" t="s">
        <v>11</v>
      </c>
      <c r="C473" t="s">
        <v>12</v>
      </c>
      <c r="D473" t="s">
        <v>8</v>
      </c>
      <c r="E473" t="s">
        <v>9</v>
      </c>
      <c r="F473" t="s">
        <v>23</v>
      </c>
    </row>
    <row r="474" spans="1:6" x14ac:dyDescent="0.3">
      <c r="A474">
        <v>473</v>
      </c>
      <c r="B474" t="s">
        <v>11</v>
      </c>
      <c r="C474" t="s">
        <v>12</v>
      </c>
      <c r="D474" t="s">
        <v>22</v>
      </c>
      <c r="E474" t="s">
        <v>21</v>
      </c>
      <c r="F474" t="s">
        <v>13</v>
      </c>
    </row>
    <row r="475" spans="1:6" x14ac:dyDescent="0.3">
      <c r="A475">
        <v>474</v>
      </c>
      <c r="B475" t="s">
        <v>14</v>
      </c>
      <c r="C475" t="s">
        <v>12</v>
      </c>
      <c r="D475" t="s">
        <v>22</v>
      </c>
      <c r="E475" t="s">
        <v>9</v>
      </c>
      <c r="F475" t="s">
        <v>23</v>
      </c>
    </row>
    <row r="476" spans="1:6" x14ac:dyDescent="0.3">
      <c r="A476">
        <v>475</v>
      </c>
      <c r="B476" t="s">
        <v>16</v>
      </c>
      <c r="C476" t="s">
        <v>7</v>
      </c>
      <c r="D476" t="s">
        <v>8</v>
      </c>
      <c r="E476" t="s">
        <v>9</v>
      </c>
      <c r="F476" t="s">
        <v>13</v>
      </c>
    </row>
    <row r="477" spans="1:6" x14ac:dyDescent="0.3">
      <c r="A477">
        <v>476</v>
      </c>
      <c r="B477" t="s">
        <v>11</v>
      </c>
      <c r="C477" t="s">
        <v>7</v>
      </c>
      <c r="D477" t="s">
        <v>22</v>
      </c>
      <c r="E477" t="s">
        <v>15</v>
      </c>
      <c r="F477" t="s">
        <v>20</v>
      </c>
    </row>
    <row r="478" spans="1:6" x14ac:dyDescent="0.3">
      <c r="A478">
        <v>477</v>
      </c>
      <c r="B478" t="s">
        <v>25</v>
      </c>
      <c r="C478" t="s">
        <v>12</v>
      </c>
      <c r="D478" t="s">
        <v>8</v>
      </c>
      <c r="E478" t="s">
        <v>9</v>
      </c>
      <c r="F478" t="s">
        <v>13</v>
      </c>
    </row>
    <row r="479" spans="1:6" x14ac:dyDescent="0.3">
      <c r="A479">
        <v>478</v>
      </c>
      <c r="B479" t="s">
        <v>14</v>
      </c>
      <c r="C479" t="s">
        <v>12</v>
      </c>
      <c r="D479" t="s">
        <v>8</v>
      </c>
      <c r="E479" t="s">
        <v>17</v>
      </c>
      <c r="F479" t="s">
        <v>10</v>
      </c>
    </row>
    <row r="480" spans="1:6" x14ac:dyDescent="0.3">
      <c r="A480">
        <v>479</v>
      </c>
      <c r="B480" t="s">
        <v>11</v>
      </c>
      <c r="C480" t="s">
        <v>7</v>
      </c>
      <c r="D480" t="s">
        <v>22</v>
      </c>
      <c r="E480" t="s">
        <v>9</v>
      </c>
      <c r="F480" t="s">
        <v>23</v>
      </c>
    </row>
    <row r="481" spans="1:6" x14ac:dyDescent="0.3">
      <c r="A481">
        <v>480</v>
      </c>
      <c r="B481" t="s">
        <v>16</v>
      </c>
      <c r="C481" t="s">
        <v>7</v>
      </c>
      <c r="D481" t="s">
        <v>1</v>
      </c>
      <c r="E481" t="s">
        <v>19</v>
      </c>
      <c r="F481" t="s">
        <v>10</v>
      </c>
    </row>
    <row r="482" spans="1:6" x14ac:dyDescent="0.3">
      <c r="A482">
        <v>481</v>
      </c>
      <c r="B482" t="s">
        <v>25</v>
      </c>
      <c r="C482" t="s">
        <v>12</v>
      </c>
      <c r="D482" t="s">
        <v>22</v>
      </c>
      <c r="E482" t="s">
        <v>15</v>
      </c>
      <c r="F482" t="s">
        <v>13</v>
      </c>
    </row>
    <row r="483" spans="1:6" x14ac:dyDescent="0.3">
      <c r="A483">
        <v>482</v>
      </c>
      <c r="B483" t="s">
        <v>18</v>
      </c>
      <c r="C483" t="s">
        <v>7</v>
      </c>
      <c r="D483" t="s">
        <v>8</v>
      </c>
      <c r="E483" t="s">
        <v>9</v>
      </c>
      <c r="F483" t="s">
        <v>13</v>
      </c>
    </row>
    <row r="484" spans="1:6" x14ac:dyDescent="0.3">
      <c r="A484">
        <v>483</v>
      </c>
      <c r="B484" t="s">
        <v>11</v>
      </c>
      <c r="C484" t="s">
        <v>24</v>
      </c>
      <c r="D484" t="s">
        <v>8</v>
      </c>
      <c r="E484" t="s">
        <v>17</v>
      </c>
      <c r="F484" t="s">
        <v>10</v>
      </c>
    </row>
    <row r="485" spans="1:6" x14ac:dyDescent="0.3">
      <c r="A485">
        <v>484</v>
      </c>
      <c r="B485" t="s">
        <v>6</v>
      </c>
      <c r="C485" t="s">
        <v>12</v>
      </c>
      <c r="D485" t="s">
        <v>1</v>
      </c>
      <c r="E485" t="s">
        <v>15</v>
      </c>
      <c r="F485" t="s">
        <v>13</v>
      </c>
    </row>
    <row r="486" spans="1:6" x14ac:dyDescent="0.3">
      <c r="A486">
        <v>485</v>
      </c>
      <c r="B486" t="s">
        <v>16</v>
      </c>
      <c r="C486" t="s">
        <v>12</v>
      </c>
      <c r="D486" t="s">
        <v>1</v>
      </c>
      <c r="E486" t="s">
        <v>21</v>
      </c>
      <c r="F486" t="s">
        <v>23</v>
      </c>
    </row>
    <row r="487" spans="1:6" x14ac:dyDescent="0.3">
      <c r="A487">
        <v>486</v>
      </c>
      <c r="B487" t="s">
        <v>18</v>
      </c>
      <c r="C487" t="s">
        <v>12</v>
      </c>
      <c r="D487" t="s">
        <v>22</v>
      </c>
      <c r="E487" t="s">
        <v>21</v>
      </c>
      <c r="F487" t="s">
        <v>13</v>
      </c>
    </row>
    <row r="488" spans="1:6" x14ac:dyDescent="0.3">
      <c r="A488">
        <v>487</v>
      </c>
      <c r="B488" t="s">
        <v>18</v>
      </c>
      <c r="C488" t="s">
        <v>12</v>
      </c>
      <c r="D488" t="s">
        <v>8</v>
      </c>
      <c r="E488" t="s">
        <v>9</v>
      </c>
      <c r="F488" t="s">
        <v>20</v>
      </c>
    </row>
    <row r="489" spans="1:6" x14ac:dyDescent="0.3">
      <c r="A489">
        <v>488</v>
      </c>
      <c r="B489" t="s">
        <v>25</v>
      </c>
      <c r="C489" t="s">
        <v>12</v>
      </c>
      <c r="D489" t="s">
        <v>1</v>
      </c>
      <c r="E489" t="s">
        <v>9</v>
      </c>
      <c r="F489" t="s">
        <v>20</v>
      </c>
    </row>
    <row r="490" spans="1:6" x14ac:dyDescent="0.3">
      <c r="A490">
        <v>489</v>
      </c>
      <c r="B490" t="s">
        <v>16</v>
      </c>
      <c r="C490" t="s">
        <v>12</v>
      </c>
      <c r="D490" t="s">
        <v>1</v>
      </c>
      <c r="E490" t="s">
        <v>21</v>
      </c>
      <c r="F490" t="s">
        <v>20</v>
      </c>
    </row>
    <row r="491" spans="1:6" x14ac:dyDescent="0.3">
      <c r="A491">
        <v>490</v>
      </c>
      <c r="B491" t="s">
        <v>18</v>
      </c>
      <c r="C491" t="s">
        <v>12</v>
      </c>
      <c r="D491" t="s">
        <v>8</v>
      </c>
      <c r="E491" t="s">
        <v>19</v>
      </c>
      <c r="F491" t="s">
        <v>23</v>
      </c>
    </row>
    <row r="492" spans="1:6" x14ac:dyDescent="0.3">
      <c r="A492">
        <v>491</v>
      </c>
      <c r="B492" t="s">
        <v>14</v>
      </c>
      <c r="C492" t="s">
        <v>7</v>
      </c>
      <c r="D492" t="s">
        <v>8</v>
      </c>
      <c r="E492" t="s">
        <v>9</v>
      </c>
      <c r="F492" t="s">
        <v>13</v>
      </c>
    </row>
    <row r="493" spans="1:6" x14ac:dyDescent="0.3">
      <c r="A493">
        <v>492</v>
      </c>
      <c r="B493" t="s">
        <v>11</v>
      </c>
      <c r="C493" t="s">
        <v>12</v>
      </c>
      <c r="D493" t="s">
        <v>22</v>
      </c>
      <c r="E493" t="s">
        <v>21</v>
      </c>
      <c r="F493" t="s">
        <v>20</v>
      </c>
    </row>
    <row r="494" spans="1:6" x14ac:dyDescent="0.3">
      <c r="A494">
        <v>493</v>
      </c>
      <c r="B494" t="s">
        <v>6</v>
      </c>
      <c r="C494" t="s">
        <v>7</v>
      </c>
      <c r="D494" t="s">
        <v>8</v>
      </c>
      <c r="E494" t="s">
        <v>15</v>
      </c>
      <c r="F494" t="s">
        <v>13</v>
      </c>
    </row>
    <row r="495" spans="1:6" x14ac:dyDescent="0.3">
      <c r="A495">
        <v>494</v>
      </c>
      <c r="B495" t="s">
        <v>11</v>
      </c>
      <c r="C495" t="s">
        <v>12</v>
      </c>
      <c r="D495" t="s">
        <v>1</v>
      </c>
      <c r="E495" t="s">
        <v>9</v>
      </c>
      <c r="F495" t="s">
        <v>10</v>
      </c>
    </row>
    <row r="496" spans="1:6" x14ac:dyDescent="0.3">
      <c r="A496">
        <v>495</v>
      </c>
      <c r="B496" t="s">
        <v>11</v>
      </c>
      <c r="C496" t="s">
        <v>7</v>
      </c>
      <c r="D496" t="s">
        <v>8</v>
      </c>
      <c r="E496" t="s">
        <v>9</v>
      </c>
      <c r="F496" t="s">
        <v>10</v>
      </c>
    </row>
    <row r="497" spans="1:6" x14ac:dyDescent="0.3">
      <c r="A497">
        <v>496</v>
      </c>
      <c r="B497" t="s">
        <v>25</v>
      </c>
      <c r="C497" t="s">
        <v>7</v>
      </c>
      <c r="D497" t="s">
        <v>8</v>
      </c>
      <c r="E497" t="s">
        <v>9</v>
      </c>
      <c r="F497" t="s">
        <v>10</v>
      </c>
    </row>
    <row r="498" spans="1:6" x14ac:dyDescent="0.3">
      <c r="A498">
        <v>497</v>
      </c>
      <c r="B498" t="s">
        <v>25</v>
      </c>
      <c r="C498" t="s">
        <v>12</v>
      </c>
      <c r="D498" t="s">
        <v>8</v>
      </c>
      <c r="E498" t="s">
        <v>15</v>
      </c>
      <c r="F498" t="s">
        <v>20</v>
      </c>
    </row>
    <row r="499" spans="1:6" x14ac:dyDescent="0.3">
      <c r="A499">
        <v>498</v>
      </c>
      <c r="B499" t="s">
        <v>16</v>
      </c>
      <c r="C499" t="s">
        <v>12</v>
      </c>
      <c r="D499" t="s">
        <v>22</v>
      </c>
      <c r="E499" t="s">
        <v>9</v>
      </c>
      <c r="F499" t="s">
        <v>23</v>
      </c>
    </row>
    <row r="500" spans="1:6" x14ac:dyDescent="0.3">
      <c r="A500">
        <v>499</v>
      </c>
      <c r="B500" t="s">
        <v>14</v>
      </c>
      <c r="C500" t="s">
        <v>7</v>
      </c>
      <c r="D500" t="s">
        <v>1</v>
      </c>
      <c r="E500" t="s">
        <v>15</v>
      </c>
      <c r="F500" t="s">
        <v>20</v>
      </c>
    </row>
    <row r="501" spans="1:6" x14ac:dyDescent="0.3">
      <c r="A501">
        <v>500</v>
      </c>
      <c r="B501" t="s">
        <v>25</v>
      </c>
      <c r="C501" t="s">
        <v>12</v>
      </c>
      <c r="D501" t="s">
        <v>8</v>
      </c>
      <c r="E501" t="s">
        <v>9</v>
      </c>
      <c r="F501" t="s">
        <v>10</v>
      </c>
    </row>
    <row r="502" spans="1:6" x14ac:dyDescent="0.3">
      <c r="A502">
        <v>501</v>
      </c>
      <c r="B502" t="s">
        <v>6</v>
      </c>
      <c r="C502" t="s">
        <v>12</v>
      </c>
      <c r="D502" t="s">
        <v>8</v>
      </c>
      <c r="E502" t="s">
        <v>19</v>
      </c>
      <c r="F502" t="s">
        <v>20</v>
      </c>
    </row>
    <row r="503" spans="1:6" x14ac:dyDescent="0.3">
      <c r="A503">
        <v>502</v>
      </c>
      <c r="B503" t="s">
        <v>16</v>
      </c>
      <c r="C503" t="s">
        <v>7</v>
      </c>
      <c r="D503" t="s">
        <v>1</v>
      </c>
      <c r="E503" t="s">
        <v>9</v>
      </c>
      <c r="F503" t="s">
        <v>23</v>
      </c>
    </row>
    <row r="504" spans="1:6" x14ac:dyDescent="0.3">
      <c r="A504">
        <v>503</v>
      </c>
      <c r="B504" t="s">
        <v>6</v>
      </c>
      <c r="C504" t="s">
        <v>7</v>
      </c>
      <c r="D504" t="s">
        <v>8</v>
      </c>
      <c r="E504" t="s">
        <v>9</v>
      </c>
      <c r="F504" t="s">
        <v>13</v>
      </c>
    </row>
    <row r="505" spans="1:6" x14ac:dyDescent="0.3">
      <c r="A505">
        <v>504</v>
      </c>
      <c r="B505" t="s">
        <v>18</v>
      </c>
      <c r="C505" t="s">
        <v>12</v>
      </c>
      <c r="D505" t="s">
        <v>8</v>
      </c>
      <c r="E505" t="s">
        <v>19</v>
      </c>
      <c r="F505" t="s">
        <v>20</v>
      </c>
    </row>
    <row r="506" spans="1:6" x14ac:dyDescent="0.3">
      <c r="A506">
        <v>505</v>
      </c>
      <c r="B506" t="s">
        <v>25</v>
      </c>
      <c r="C506" t="s">
        <v>12</v>
      </c>
      <c r="D506" t="s">
        <v>1</v>
      </c>
      <c r="E506" t="s">
        <v>17</v>
      </c>
      <c r="F506" t="s">
        <v>10</v>
      </c>
    </row>
    <row r="507" spans="1:6" x14ac:dyDescent="0.3">
      <c r="A507">
        <v>506</v>
      </c>
      <c r="B507" t="s">
        <v>14</v>
      </c>
      <c r="C507" t="s">
        <v>12</v>
      </c>
      <c r="D507" t="s">
        <v>8</v>
      </c>
      <c r="E507" t="s">
        <v>9</v>
      </c>
      <c r="F507" t="s">
        <v>20</v>
      </c>
    </row>
    <row r="508" spans="1:6" x14ac:dyDescent="0.3">
      <c r="A508">
        <v>507</v>
      </c>
      <c r="B508" t="s">
        <v>14</v>
      </c>
      <c r="C508" t="s">
        <v>7</v>
      </c>
      <c r="D508" t="s">
        <v>1</v>
      </c>
      <c r="E508" t="s">
        <v>17</v>
      </c>
      <c r="F508" t="s">
        <v>10</v>
      </c>
    </row>
    <row r="509" spans="1:6" x14ac:dyDescent="0.3">
      <c r="A509">
        <v>508</v>
      </c>
      <c r="B509" t="s">
        <v>14</v>
      </c>
      <c r="C509" t="s">
        <v>12</v>
      </c>
      <c r="D509" t="s">
        <v>1</v>
      </c>
      <c r="E509" t="s">
        <v>15</v>
      </c>
      <c r="F509" t="s">
        <v>13</v>
      </c>
    </row>
    <row r="510" spans="1:6" x14ac:dyDescent="0.3">
      <c r="A510">
        <v>509</v>
      </c>
      <c r="B510" t="s">
        <v>6</v>
      </c>
      <c r="C510" t="s">
        <v>12</v>
      </c>
      <c r="D510" t="s">
        <v>1</v>
      </c>
      <c r="E510" t="s">
        <v>9</v>
      </c>
      <c r="F510" t="s">
        <v>20</v>
      </c>
    </row>
    <row r="511" spans="1:6" x14ac:dyDescent="0.3">
      <c r="A511">
        <v>510</v>
      </c>
      <c r="B511" t="s">
        <v>25</v>
      </c>
      <c r="C511" t="s">
        <v>7</v>
      </c>
      <c r="D511" t="s">
        <v>1</v>
      </c>
      <c r="E511" t="s">
        <v>9</v>
      </c>
      <c r="F511" t="s">
        <v>13</v>
      </c>
    </row>
    <row r="512" spans="1:6" x14ac:dyDescent="0.3">
      <c r="A512">
        <v>511</v>
      </c>
      <c r="B512" t="s">
        <v>14</v>
      </c>
      <c r="C512" t="s">
        <v>12</v>
      </c>
      <c r="D512" t="s">
        <v>1</v>
      </c>
      <c r="E512" t="s">
        <v>9</v>
      </c>
      <c r="F512" t="s">
        <v>23</v>
      </c>
    </row>
    <row r="513" spans="1:6" x14ac:dyDescent="0.3">
      <c r="A513">
        <v>512</v>
      </c>
      <c r="B513" t="s">
        <v>11</v>
      </c>
      <c r="C513" t="s">
        <v>12</v>
      </c>
      <c r="D513" t="s">
        <v>8</v>
      </c>
      <c r="E513" t="s">
        <v>9</v>
      </c>
      <c r="F513" t="s">
        <v>13</v>
      </c>
    </row>
    <row r="514" spans="1:6" x14ac:dyDescent="0.3">
      <c r="A514">
        <v>513</v>
      </c>
      <c r="B514" t="s">
        <v>6</v>
      </c>
      <c r="C514" t="s">
        <v>12</v>
      </c>
      <c r="D514" t="s">
        <v>1</v>
      </c>
      <c r="E514" t="s">
        <v>17</v>
      </c>
      <c r="F514" t="s">
        <v>10</v>
      </c>
    </row>
    <row r="515" spans="1:6" x14ac:dyDescent="0.3">
      <c r="A515">
        <v>514</v>
      </c>
      <c r="B515" t="s">
        <v>14</v>
      </c>
      <c r="C515" t="s">
        <v>7</v>
      </c>
      <c r="D515" t="s">
        <v>8</v>
      </c>
      <c r="E515" t="s">
        <v>9</v>
      </c>
      <c r="F515" t="s">
        <v>13</v>
      </c>
    </row>
    <row r="516" spans="1:6" x14ac:dyDescent="0.3">
      <c r="A516">
        <v>515</v>
      </c>
      <c r="B516" t="s">
        <v>25</v>
      </c>
      <c r="C516" t="s">
        <v>12</v>
      </c>
      <c r="D516" t="s">
        <v>1</v>
      </c>
      <c r="E516" t="s">
        <v>21</v>
      </c>
      <c r="F516" t="s">
        <v>13</v>
      </c>
    </row>
    <row r="517" spans="1:6" x14ac:dyDescent="0.3">
      <c r="A517">
        <v>516</v>
      </c>
      <c r="B517" t="s">
        <v>25</v>
      </c>
      <c r="C517" t="s">
        <v>7</v>
      </c>
      <c r="D517" t="s">
        <v>8</v>
      </c>
      <c r="E517" t="s">
        <v>9</v>
      </c>
      <c r="F517" t="s">
        <v>20</v>
      </c>
    </row>
    <row r="518" spans="1:6" x14ac:dyDescent="0.3">
      <c r="A518">
        <v>517</v>
      </c>
      <c r="B518" t="s">
        <v>14</v>
      </c>
      <c r="C518" t="s">
        <v>12</v>
      </c>
      <c r="D518" t="s">
        <v>22</v>
      </c>
      <c r="E518" t="s">
        <v>21</v>
      </c>
      <c r="F518" t="s">
        <v>20</v>
      </c>
    </row>
    <row r="519" spans="1:6" x14ac:dyDescent="0.3">
      <c r="A519">
        <v>518</v>
      </c>
      <c r="B519" t="s">
        <v>6</v>
      </c>
      <c r="C519" t="s">
        <v>12</v>
      </c>
      <c r="D519" t="s">
        <v>22</v>
      </c>
      <c r="E519" t="s">
        <v>9</v>
      </c>
      <c r="F519" t="s">
        <v>13</v>
      </c>
    </row>
    <row r="520" spans="1:6" x14ac:dyDescent="0.3">
      <c r="A520">
        <v>519</v>
      </c>
      <c r="B520" t="s">
        <v>16</v>
      </c>
      <c r="C520" t="s">
        <v>7</v>
      </c>
      <c r="D520" t="s">
        <v>22</v>
      </c>
      <c r="E520" t="s">
        <v>21</v>
      </c>
      <c r="F520" t="s">
        <v>20</v>
      </c>
    </row>
    <row r="521" spans="1:6" x14ac:dyDescent="0.3">
      <c r="A521">
        <v>520</v>
      </c>
      <c r="B521" t="s">
        <v>11</v>
      </c>
      <c r="C521" t="s">
        <v>24</v>
      </c>
      <c r="D521" t="s">
        <v>1</v>
      </c>
      <c r="E521" t="s">
        <v>17</v>
      </c>
      <c r="F521" t="s">
        <v>10</v>
      </c>
    </row>
    <row r="522" spans="1:6" x14ac:dyDescent="0.3">
      <c r="A522">
        <v>521</v>
      </c>
      <c r="B522" t="s">
        <v>25</v>
      </c>
      <c r="C522" t="s">
        <v>7</v>
      </c>
      <c r="D522" t="s">
        <v>8</v>
      </c>
      <c r="E522" t="s">
        <v>19</v>
      </c>
      <c r="F522" t="s">
        <v>23</v>
      </c>
    </row>
    <row r="523" spans="1:6" x14ac:dyDescent="0.3">
      <c r="A523">
        <v>522</v>
      </c>
      <c r="B523" t="s">
        <v>14</v>
      </c>
      <c r="C523" t="s">
        <v>7</v>
      </c>
      <c r="D523" t="s">
        <v>1</v>
      </c>
      <c r="E523" t="s">
        <v>21</v>
      </c>
      <c r="F523" t="s">
        <v>13</v>
      </c>
    </row>
    <row r="524" spans="1:6" x14ac:dyDescent="0.3">
      <c r="A524">
        <v>523</v>
      </c>
      <c r="B524" t="s">
        <v>14</v>
      </c>
      <c r="C524" t="s">
        <v>7</v>
      </c>
      <c r="D524" t="s">
        <v>22</v>
      </c>
      <c r="E524" t="s">
        <v>15</v>
      </c>
      <c r="F524" t="s">
        <v>13</v>
      </c>
    </row>
    <row r="525" spans="1:6" x14ac:dyDescent="0.3">
      <c r="A525">
        <v>524</v>
      </c>
      <c r="B525" t="s">
        <v>14</v>
      </c>
      <c r="C525" t="s">
        <v>12</v>
      </c>
      <c r="D525" t="s">
        <v>22</v>
      </c>
      <c r="E525" t="s">
        <v>19</v>
      </c>
      <c r="F525" t="s">
        <v>10</v>
      </c>
    </row>
    <row r="526" spans="1:6" x14ac:dyDescent="0.3">
      <c r="A526">
        <v>525</v>
      </c>
      <c r="B526" t="s">
        <v>16</v>
      </c>
      <c r="C526" t="s">
        <v>12</v>
      </c>
      <c r="D526" t="s">
        <v>8</v>
      </c>
      <c r="E526" t="s">
        <v>19</v>
      </c>
      <c r="F526" t="s">
        <v>13</v>
      </c>
    </row>
    <row r="527" spans="1:6" x14ac:dyDescent="0.3">
      <c r="A527">
        <v>526</v>
      </c>
      <c r="B527" t="s">
        <v>14</v>
      </c>
      <c r="C527" t="s">
        <v>24</v>
      </c>
      <c r="D527" t="s">
        <v>1</v>
      </c>
      <c r="E527" t="s">
        <v>15</v>
      </c>
      <c r="F527" t="s">
        <v>13</v>
      </c>
    </row>
    <row r="528" spans="1:6" x14ac:dyDescent="0.3">
      <c r="A528">
        <v>527</v>
      </c>
      <c r="B528" t="s">
        <v>25</v>
      </c>
      <c r="C528" t="s">
        <v>7</v>
      </c>
      <c r="D528" t="s">
        <v>1</v>
      </c>
      <c r="E528" t="s">
        <v>15</v>
      </c>
      <c r="F528" t="s">
        <v>20</v>
      </c>
    </row>
    <row r="529" spans="1:6" x14ac:dyDescent="0.3">
      <c r="A529">
        <v>528</v>
      </c>
      <c r="B529" t="s">
        <v>11</v>
      </c>
      <c r="C529" t="s">
        <v>12</v>
      </c>
      <c r="D529" t="s">
        <v>1</v>
      </c>
      <c r="E529" t="s">
        <v>17</v>
      </c>
      <c r="F529" t="s">
        <v>10</v>
      </c>
    </row>
    <row r="530" spans="1:6" x14ac:dyDescent="0.3">
      <c r="A530">
        <v>529</v>
      </c>
      <c r="B530" t="s">
        <v>25</v>
      </c>
      <c r="C530" t="s">
        <v>7</v>
      </c>
      <c r="D530" t="s">
        <v>8</v>
      </c>
      <c r="E530" t="s">
        <v>9</v>
      </c>
      <c r="F530" t="s">
        <v>10</v>
      </c>
    </row>
    <row r="531" spans="1:6" x14ac:dyDescent="0.3">
      <c r="A531">
        <v>530</v>
      </c>
      <c r="B531" t="s">
        <v>6</v>
      </c>
      <c r="C531" t="s">
        <v>12</v>
      </c>
      <c r="D531" t="s">
        <v>8</v>
      </c>
      <c r="E531" t="s">
        <v>9</v>
      </c>
      <c r="F531" t="s">
        <v>10</v>
      </c>
    </row>
    <row r="532" spans="1:6" x14ac:dyDescent="0.3">
      <c r="A532">
        <v>531</v>
      </c>
      <c r="B532" t="s">
        <v>14</v>
      </c>
      <c r="C532" t="s">
        <v>7</v>
      </c>
      <c r="D532" t="s">
        <v>1</v>
      </c>
      <c r="E532" t="s">
        <v>21</v>
      </c>
      <c r="F532" t="s">
        <v>23</v>
      </c>
    </row>
    <row r="533" spans="1:6" x14ac:dyDescent="0.3">
      <c r="A533">
        <v>532</v>
      </c>
      <c r="B533" t="s">
        <v>18</v>
      </c>
      <c r="C533" t="s">
        <v>12</v>
      </c>
      <c r="D533" t="s">
        <v>1</v>
      </c>
      <c r="E533" t="s">
        <v>19</v>
      </c>
      <c r="F533" t="s">
        <v>10</v>
      </c>
    </row>
    <row r="534" spans="1:6" x14ac:dyDescent="0.3">
      <c r="A534">
        <v>533</v>
      </c>
      <c r="B534" t="s">
        <v>14</v>
      </c>
      <c r="C534" t="s">
        <v>7</v>
      </c>
      <c r="D534" t="s">
        <v>8</v>
      </c>
      <c r="E534" t="s">
        <v>9</v>
      </c>
      <c r="F534" t="s">
        <v>10</v>
      </c>
    </row>
    <row r="535" spans="1:6" x14ac:dyDescent="0.3">
      <c r="A535">
        <v>534</v>
      </c>
      <c r="B535" t="s">
        <v>18</v>
      </c>
      <c r="C535" t="s">
        <v>7</v>
      </c>
      <c r="D535" t="s">
        <v>8</v>
      </c>
      <c r="E535" t="s">
        <v>9</v>
      </c>
      <c r="F535" t="s">
        <v>23</v>
      </c>
    </row>
    <row r="536" spans="1:6" x14ac:dyDescent="0.3">
      <c r="A536">
        <v>535</v>
      </c>
      <c r="B536" t="s">
        <v>6</v>
      </c>
      <c r="C536" t="s">
        <v>24</v>
      </c>
      <c r="D536" t="s">
        <v>8</v>
      </c>
      <c r="E536" t="s">
        <v>15</v>
      </c>
      <c r="F536" t="s">
        <v>23</v>
      </c>
    </row>
    <row r="537" spans="1:6" x14ac:dyDescent="0.3">
      <c r="A537">
        <v>536</v>
      </c>
      <c r="B537" t="s">
        <v>18</v>
      </c>
      <c r="C537" t="s">
        <v>7</v>
      </c>
      <c r="D537" t="s">
        <v>8</v>
      </c>
      <c r="E537" t="s">
        <v>19</v>
      </c>
      <c r="F537" t="s">
        <v>13</v>
      </c>
    </row>
    <row r="538" spans="1:6" x14ac:dyDescent="0.3">
      <c r="A538">
        <v>537</v>
      </c>
      <c r="B538" t="s">
        <v>18</v>
      </c>
      <c r="C538" t="s">
        <v>7</v>
      </c>
      <c r="D538" t="s">
        <v>8</v>
      </c>
      <c r="E538" t="s">
        <v>9</v>
      </c>
      <c r="F538" t="s">
        <v>23</v>
      </c>
    </row>
    <row r="539" spans="1:6" x14ac:dyDescent="0.3">
      <c r="A539">
        <v>538</v>
      </c>
      <c r="B539" t="s">
        <v>11</v>
      </c>
      <c r="C539" t="s">
        <v>12</v>
      </c>
      <c r="D539" t="s">
        <v>1</v>
      </c>
      <c r="E539" t="s">
        <v>21</v>
      </c>
      <c r="F539" t="s">
        <v>20</v>
      </c>
    </row>
    <row r="540" spans="1:6" x14ac:dyDescent="0.3">
      <c r="A540">
        <v>539</v>
      </c>
      <c r="B540" t="s">
        <v>11</v>
      </c>
      <c r="C540" t="s">
        <v>12</v>
      </c>
      <c r="D540" t="s">
        <v>1</v>
      </c>
      <c r="E540" t="s">
        <v>21</v>
      </c>
      <c r="F540" t="s">
        <v>23</v>
      </c>
    </row>
    <row r="541" spans="1:6" x14ac:dyDescent="0.3">
      <c r="A541">
        <v>540</v>
      </c>
      <c r="B541" t="s">
        <v>16</v>
      </c>
      <c r="C541" t="s">
        <v>7</v>
      </c>
      <c r="D541" t="s">
        <v>8</v>
      </c>
      <c r="E541" t="s">
        <v>17</v>
      </c>
      <c r="F541" t="s">
        <v>10</v>
      </c>
    </row>
    <row r="542" spans="1:6" x14ac:dyDescent="0.3">
      <c r="A542">
        <v>541</v>
      </c>
      <c r="B542" t="s">
        <v>14</v>
      </c>
      <c r="C542" t="s">
        <v>12</v>
      </c>
      <c r="D542" t="s">
        <v>22</v>
      </c>
      <c r="E542" t="s">
        <v>17</v>
      </c>
      <c r="F542" t="s">
        <v>10</v>
      </c>
    </row>
    <row r="543" spans="1:6" x14ac:dyDescent="0.3">
      <c r="A543">
        <v>542</v>
      </c>
      <c r="B543" t="s">
        <v>6</v>
      </c>
      <c r="C543" t="s">
        <v>7</v>
      </c>
      <c r="D543" t="s">
        <v>8</v>
      </c>
      <c r="E543" t="s">
        <v>19</v>
      </c>
      <c r="F543" t="s">
        <v>13</v>
      </c>
    </row>
    <row r="544" spans="1:6" x14ac:dyDescent="0.3">
      <c r="A544">
        <v>543</v>
      </c>
      <c r="B544" t="s">
        <v>14</v>
      </c>
      <c r="C544" t="s">
        <v>12</v>
      </c>
      <c r="D544" t="s">
        <v>22</v>
      </c>
      <c r="E544" t="s">
        <v>9</v>
      </c>
      <c r="F544" t="s">
        <v>23</v>
      </c>
    </row>
    <row r="545" spans="1:6" x14ac:dyDescent="0.3">
      <c r="A545">
        <v>544</v>
      </c>
      <c r="B545" t="s">
        <v>16</v>
      </c>
      <c r="C545" t="s">
        <v>7</v>
      </c>
      <c r="D545" t="s">
        <v>8</v>
      </c>
      <c r="E545" t="s">
        <v>9</v>
      </c>
      <c r="F545" t="s">
        <v>10</v>
      </c>
    </row>
    <row r="546" spans="1:6" x14ac:dyDescent="0.3">
      <c r="A546">
        <v>545</v>
      </c>
      <c r="B546" t="s">
        <v>16</v>
      </c>
      <c r="C546" t="s">
        <v>12</v>
      </c>
      <c r="D546" t="s">
        <v>8</v>
      </c>
      <c r="E546" t="s">
        <v>15</v>
      </c>
      <c r="F546" t="s">
        <v>20</v>
      </c>
    </row>
    <row r="547" spans="1:6" x14ac:dyDescent="0.3">
      <c r="A547">
        <v>546</v>
      </c>
      <c r="B547" t="s">
        <v>11</v>
      </c>
      <c r="C547" t="s">
        <v>12</v>
      </c>
      <c r="D547" t="s">
        <v>1</v>
      </c>
      <c r="E547" t="s">
        <v>9</v>
      </c>
      <c r="F547" t="s">
        <v>13</v>
      </c>
    </row>
    <row r="548" spans="1:6" x14ac:dyDescent="0.3">
      <c r="A548">
        <v>547</v>
      </c>
      <c r="B548" t="s">
        <v>16</v>
      </c>
      <c r="C548" t="s">
        <v>12</v>
      </c>
      <c r="D548" t="s">
        <v>8</v>
      </c>
      <c r="E548" t="s">
        <v>9</v>
      </c>
      <c r="F548" t="s">
        <v>10</v>
      </c>
    </row>
    <row r="549" spans="1:6" x14ac:dyDescent="0.3">
      <c r="A549">
        <v>548</v>
      </c>
      <c r="B549" t="s">
        <v>6</v>
      </c>
      <c r="C549" t="s">
        <v>12</v>
      </c>
      <c r="D549" t="s">
        <v>22</v>
      </c>
      <c r="E549" t="s">
        <v>21</v>
      </c>
      <c r="F549" t="s">
        <v>13</v>
      </c>
    </row>
    <row r="550" spans="1:6" x14ac:dyDescent="0.3">
      <c r="A550">
        <v>549</v>
      </c>
      <c r="B550" t="s">
        <v>6</v>
      </c>
      <c r="C550" t="s">
        <v>7</v>
      </c>
      <c r="D550" t="s">
        <v>8</v>
      </c>
      <c r="E550" t="s">
        <v>19</v>
      </c>
      <c r="F550" t="s">
        <v>13</v>
      </c>
    </row>
    <row r="551" spans="1:6" x14ac:dyDescent="0.3">
      <c r="A551">
        <v>550</v>
      </c>
      <c r="B551" t="s">
        <v>6</v>
      </c>
      <c r="C551" t="s">
        <v>24</v>
      </c>
      <c r="D551" t="s">
        <v>1</v>
      </c>
      <c r="E551" t="s">
        <v>17</v>
      </c>
      <c r="F551" t="s">
        <v>10</v>
      </c>
    </row>
    <row r="552" spans="1:6" x14ac:dyDescent="0.3">
      <c r="A552">
        <v>551</v>
      </c>
      <c r="B552" t="s">
        <v>11</v>
      </c>
      <c r="C552" t="s">
        <v>7</v>
      </c>
      <c r="D552" t="s">
        <v>8</v>
      </c>
      <c r="E552" t="s">
        <v>19</v>
      </c>
      <c r="F552" t="s">
        <v>23</v>
      </c>
    </row>
    <row r="553" spans="1:6" x14ac:dyDescent="0.3">
      <c r="A553">
        <v>552</v>
      </c>
      <c r="B553" t="s">
        <v>18</v>
      </c>
      <c r="C553" t="s">
        <v>12</v>
      </c>
      <c r="D553" t="s">
        <v>22</v>
      </c>
      <c r="E553" t="s">
        <v>21</v>
      </c>
      <c r="F553" t="s">
        <v>23</v>
      </c>
    </row>
    <row r="554" spans="1:6" x14ac:dyDescent="0.3">
      <c r="A554">
        <v>553</v>
      </c>
      <c r="B554" t="s">
        <v>25</v>
      </c>
      <c r="C554" t="s">
        <v>12</v>
      </c>
      <c r="D554" t="s">
        <v>8</v>
      </c>
      <c r="E554" t="s">
        <v>19</v>
      </c>
      <c r="F554" t="s">
        <v>20</v>
      </c>
    </row>
    <row r="555" spans="1:6" x14ac:dyDescent="0.3">
      <c r="A555">
        <v>554</v>
      </c>
      <c r="B555" t="s">
        <v>18</v>
      </c>
      <c r="C555" t="s">
        <v>7</v>
      </c>
      <c r="D555" t="s">
        <v>22</v>
      </c>
      <c r="E555" t="s">
        <v>9</v>
      </c>
      <c r="F555" t="s">
        <v>20</v>
      </c>
    </row>
    <row r="556" spans="1:6" x14ac:dyDescent="0.3">
      <c r="A556">
        <v>555</v>
      </c>
      <c r="B556" t="s">
        <v>18</v>
      </c>
      <c r="C556" t="s">
        <v>12</v>
      </c>
      <c r="D556" t="s">
        <v>22</v>
      </c>
      <c r="E556" t="s">
        <v>21</v>
      </c>
      <c r="F556" t="s">
        <v>20</v>
      </c>
    </row>
    <row r="557" spans="1:6" x14ac:dyDescent="0.3">
      <c r="A557">
        <v>556</v>
      </c>
      <c r="B557" t="s">
        <v>6</v>
      </c>
      <c r="C557" t="s">
        <v>24</v>
      </c>
      <c r="D557" t="s">
        <v>1</v>
      </c>
      <c r="E557" t="s">
        <v>17</v>
      </c>
      <c r="F557" t="s">
        <v>10</v>
      </c>
    </row>
    <row r="558" spans="1:6" x14ac:dyDescent="0.3">
      <c r="A558">
        <v>557</v>
      </c>
      <c r="B558" t="s">
        <v>11</v>
      </c>
      <c r="C558" t="s">
        <v>12</v>
      </c>
      <c r="D558" t="s">
        <v>1</v>
      </c>
      <c r="E558" t="s">
        <v>15</v>
      </c>
      <c r="F558" t="s">
        <v>23</v>
      </c>
    </row>
    <row r="559" spans="1:6" x14ac:dyDescent="0.3">
      <c r="A559">
        <v>558</v>
      </c>
      <c r="B559" t="s">
        <v>11</v>
      </c>
      <c r="C559" t="s">
        <v>7</v>
      </c>
      <c r="D559" t="s">
        <v>22</v>
      </c>
      <c r="E559" t="s">
        <v>9</v>
      </c>
      <c r="F559" t="s">
        <v>23</v>
      </c>
    </row>
    <row r="560" spans="1:6" x14ac:dyDescent="0.3">
      <c r="A560">
        <v>559</v>
      </c>
      <c r="B560" t="s">
        <v>25</v>
      </c>
      <c r="C560" t="s">
        <v>12</v>
      </c>
      <c r="D560" t="s">
        <v>1</v>
      </c>
      <c r="E560" t="s">
        <v>17</v>
      </c>
      <c r="F560" t="s">
        <v>10</v>
      </c>
    </row>
    <row r="561" spans="1:6" x14ac:dyDescent="0.3">
      <c r="A561">
        <v>560</v>
      </c>
      <c r="B561" t="s">
        <v>11</v>
      </c>
      <c r="C561" t="s">
        <v>7</v>
      </c>
      <c r="D561" t="s">
        <v>22</v>
      </c>
      <c r="E561" t="s">
        <v>15</v>
      </c>
      <c r="F561" t="s">
        <v>20</v>
      </c>
    </row>
    <row r="562" spans="1:6" x14ac:dyDescent="0.3">
      <c r="A562">
        <v>561</v>
      </c>
      <c r="B562" t="s">
        <v>6</v>
      </c>
      <c r="C562" t="s">
        <v>7</v>
      </c>
      <c r="D562" t="s">
        <v>8</v>
      </c>
      <c r="E562" t="s">
        <v>9</v>
      </c>
      <c r="F562" t="s">
        <v>10</v>
      </c>
    </row>
    <row r="563" spans="1:6" x14ac:dyDescent="0.3">
      <c r="A563">
        <v>562</v>
      </c>
      <c r="B563" t="s">
        <v>18</v>
      </c>
      <c r="C563" t="s">
        <v>12</v>
      </c>
      <c r="D563" t="s">
        <v>8</v>
      </c>
      <c r="E563" t="s">
        <v>9</v>
      </c>
      <c r="F563" t="s">
        <v>20</v>
      </c>
    </row>
    <row r="564" spans="1:6" x14ac:dyDescent="0.3">
      <c r="A564">
        <v>563</v>
      </c>
      <c r="B564" t="s">
        <v>11</v>
      </c>
      <c r="C564" t="s">
        <v>12</v>
      </c>
      <c r="D564" t="s">
        <v>8</v>
      </c>
      <c r="E564" t="s">
        <v>9</v>
      </c>
      <c r="F564" t="s">
        <v>10</v>
      </c>
    </row>
    <row r="565" spans="1:6" x14ac:dyDescent="0.3">
      <c r="A565">
        <v>564</v>
      </c>
      <c r="B565" t="s">
        <v>14</v>
      </c>
      <c r="C565" t="s">
        <v>7</v>
      </c>
      <c r="D565" t="s">
        <v>1</v>
      </c>
      <c r="E565" t="s">
        <v>21</v>
      </c>
      <c r="F565" t="s">
        <v>20</v>
      </c>
    </row>
    <row r="566" spans="1:6" x14ac:dyDescent="0.3">
      <c r="A566">
        <v>565</v>
      </c>
      <c r="B566" t="s">
        <v>14</v>
      </c>
      <c r="C566" t="s">
        <v>12</v>
      </c>
      <c r="D566" t="s">
        <v>8</v>
      </c>
      <c r="E566" t="s">
        <v>19</v>
      </c>
      <c r="F566" t="s">
        <v>23</v>
      </c>
    </row>
    <row r="567" spans="1:6" x14ac:dyDescent="0.3">
      <c r="A567">
        <v>566</v>
      </c>
      <c r="B567" t="s">
        <v>18</v>
      </c>
      <c r="C567" t="s">
        <v>7</v>
      </c>
      <c r="D567" t="s">
        <v>8</v>
      </c>
      <c r="E567" t="s">
        <v>19</v>
      </c>
      <c r="F567" t="s">
        <v>20</v>
      </c>
    </row>
    <row r="568" spans="1:6" x14ac:dyDescent="0.3">
      <c r="A568">
        <v>567</v>
      </c>
      <c r="B568" t="s">
        <v>16</v>
      </c>
      <c r="C568" t="s">
        <v>7</v>
      </c>
      <c r="D568" t="s">
        <v>8</v>
      </c>
      <c r="E568" t="s">
        <v>9</v>
      </c>
      <c r="F568" t="s">
        <v>10</v>
      </c>
    </row>
    <row r="569" spans="1:6" x14ac:dyDescent="0.3">
      <c r="A569">
        <v>568</v>
      </c>
      <c r="B569" t="s">
        <v>18</v>
      </c>
      <c r="C569" t="s">
        <v>12</v>
      </c>
      <c r="D569" t="s">
        <v>22</v>
      </c>
      <c r="E569" t="s">
        <v>17</v>
      </c>
      <c r="F569" t="s">
        <v>10</v>
      </c>
    </row>
    <row r="570" spans="1:6" x14ac:dyDescent="0.3">
      <c r="A570">
        <v>569</v>
      </c>
      <c r="B570" t="s">
        <v>16</v>
      </c>
      <c r="C570" t="s">
        <v>12</v>
      </c>
      <c r="D570" t="s">
        <v>8</v>
      </c>
      <c r="E570" t="s">
        <v>19</v>
      </c>
      <c r="F570" t="s">
        <v>10</v>
      </c>
    </row>
    <row r="571" spans="1:6" x14ac:dyDescent="0.3">
      <c r="A571">
        <v>570</v>
      </c>
      <c r="B571" t="s">
        <v>25</v>
      </c>
      <c r="C571" t="s">
        <v>12</v>
      </c>
      <c r="D571" t="s">
        <v>22</v>
      </c>
      <c r="E571" t="s">
        <v>9</v>
      </c>
      <c r="F571" t="s">
        <v>23</v>
      </c>
    </row>
    <row r="572" spans="1:6" x14ac:dyDescent="0.3">
      <c r="A572">
        <v>571</v>
      </c>
      <c r="B572" t="s">
        <v>11</v>
      </c>
      <c r="C572" t="s">
        <v>12</v>
      </c>
      <c r="D572" t="s">
        <v>1</v>
      </c>
      <c r="E572" t="s">
        <v>21</v>
      </c>
      <c r="F572" t="s">
        <v>13</v>
      </c>
    </row>
    <row r="573" spans="1:6" x14ac:dyDescent="0.3">
      <c r="A573">
        <v>572</v>
      </c>
      <c r="B573" t="s">
        <v>16</v>
      </c>
      <c r="C573" t="s">
        <v>7</v>
      </c>
      <c r="D573" t="s">
        <v>22</v>
      </c>
      <c r="E573" t="s">
        <v>15</v>
      </c>
      <c r="F573" t="s">
        <v>13</v>
      </c>
    </row>
    <row r="574" spans="1:6" x14ac:dyDescent="0.3">
      <c r="A574">
        <v>573</v>
      </c>
      <c r="B574" t="s">
        <v>6</v>
      </c>
      <c r="C574" t="s">
        <v>7</v>
      </c>
      <c r="D574" t="s">
        <v>8</v>
      </c>
      <c r="E574" t="s">
        <v>19</v>
      </c>
      <c r="F574" t="s">
        <v>13</v>
      </c>
    </row>
    <row r="575" spans="1:6" x14ac:dyDescent="0.3">
      <c r="A575">
        <v>574</v>
      </c>
      <c r="B575" t="s">
        <v>16</v>
      </c>
      <c r="C575" t="s">
        <v>12</v>
      </c>
      <c r="D575" t="s">
        <v>22</v>
      </c>
      <c r="E575" t="s">
        <v>21</v>
      </c>
      <c r="F575" t="s">
        <v>20</v>
      </c>
    </row>
    <row r="576" spans="1:6" x14ac:dyDescent="0.3">
      <c r="A576">
        <v>575</v>
      </c>
      <c r="B576" t="s">
        <v>16</v>
      </c>
      <c r="C576" t="s">
        <v>24</v>
      </c>
      <c r="D576" t="s">
        <v>22</v>
      </c>
      <c r="E576" t="s">
        <v>15</v>
      </c>
      <c r="F576" t="s">
        <v>23</v>
      </c>
    </row>
    <row r="577" spans="1:6" x14ac:dyDescent="0.3">
      <c r="A577">
        <v>576</v>
      </c>
      <c r="B577" t="s">
        <v>16</v>
      </c>
      <c r="C577" t="s">
        <v>24</v>
      </c>
      <c r="D577" t="s">
        <v>8</v>
      </c>
      <c r="E577" t="s">
        <v>15</v>
      </c>
      <c r="F577" t="s">
        <v>13</v>
      </c>
    </row>
    <row r="578" spans="1:6" x14ac:dyDescent="0.3">
      <c r="A578">
        <v>577</v>
      </c>
      <c r="B578" t="s">
        <v>16</v>
      </c>
      <c r="C578" t="s">
        <v>12</v>
      </c>
      <c r="D578" t="s">
        <v>22</v>
      </c>
      <c r="E578" t="s">
        <v>21</v>
      </c>
      <c r="F578" t="s">
        <v>13</v>
      </c>
    </row>
    <row r="579" spans="1:6" x14ac:dyDescent="0.3">
      <c r="A579">
        <v>578</v>
      </c>
      <c r="B579" t="s">
        <v>18</v>
      </c>
      <c r="C579" t="s">
        <v>12</v>
      </c>
      <c r="D579" t="s">
        <v>8</v>
      </c>
      <c r="E579" t="s">
        <v>9</v>
      </c>
      <c r="F579" t="s">
        <v>10</v>
      </c>
    </row>
    <row r="580" spans="1:6" x14ac:dyDescent="0.3">
      <c r="A580">
        <v>579</v>
      </c>
      <c r="B580" t="s">
        <v>11</v>
      </c>
      <c r="C580" t="s">
        <v>24</v>
      </c>
      <c r="D580" t="s">
        <v>1</v>
      </c>
      <c r="E580" t="s">
        <v>17</v>
      </c>
      <c r="F580" t="s">
        <v>10</v>
      </c>
    </row>
    <row r="581" spans="1:6" x14ac:dyDescent="0.3">
      <c r="A581">
        <v>580</v>
      </c>
      <c r="B581" t="s">
        <v>25</v>
      </c>
      <c r="C581" t="s">
        <v>7</v>
      </c>
      <c r="D581" t="s">
        <v>8</v>
      </c>
      <c r="E581" t="s">
        <v>9</v>
      </c>
      <c r="F581" t="s">
        <v>13</v>
      </c>
    </row>
    <row r="582" spans="1:6" x14ac:dyDescent="0.3">
      <c r="A582">
        <v>581</v>
      </c>
      <c r="B582" t="s">
        <v>16</v>
      </c>
      <c r="C582" t="s">
        <v>12</v>
      </c>
      <c r="D582" t="s">
        <v>8</v>
      </c>
      <c r="E582" t="s">
        <v>19</v>
      </c>
      <c r="F582" t="s">
        <v>20</v>
      </c>
    </row>
    <row r="583" spans="1:6" x14ac:dyDescent="0.3">
      <c r="A583">
        <v>582</v>
      </c>
      <c r="B583" t="s">
        <v>6</v>
      </c>
      <c r="C583" t="s">
        <v>12</v>
      </c>
      <c r="D583" t="s">
        <v>8</v>
      </c>
      <c r="E583" t="s">
        <v>15</v>
      </c>
      <c r="F583" t="s">
        <v>23</v>
      </c>
    </row>
    <row r="584" spans="1:6" x14ac:dyDescent="0.3">
      <c r="A584">
        <v>583</v>
      </c>
      <c r="B584" t="s">
        <v>18</v>
      </c>
      <c r="C584" t="s">
        <v>12</v>
      </c>
      <c r="D584" t="s">
        <v>22</v>
      </c>
      <c r="E584" t="s">
        <v>21</v>
      </c>
      <c r="F584" t="s">
        <v>13</v>
      </c>
    </row>
    <row r="585" spans="1:6" x14ac:dyDescent="0.3">
      <c r="A585">
        <v>584</v>
      </c>
      <c r="B585" t="s">
        <v>25</v>
      </c>
      <c r="C585" t="s">
        <v>24</v>
      </c>
      <c r="D585" t="s">
        <v>1</v>
      </c>
      <c r="E585" t="s">
        <v>26</v>
      </c>
      <c r="F585" t="s">
        <v>20</v>
      </c>
    </row>
    <row r="586" spans="1:6" x14ac:dyDescent="0.3">
      <c r="A586">
        <v>585</v>
      </c>
      <c r="B586" t="s">
        <v>16</v>
      </c>
      <c r="C586" t="s">
        <v>24</v>
      </c>
      <c r="D586" t="s">
        <v>22</v>
      </c>
      <c r="E586" t="s">
        <v>15</v>
      </c>
      <c r="F586" t="s">
        <v>23</v>
      </c>
    </row>
    <row r="587" spans="1:6" x14ac:dyDescent="0.3">
      <c r="A587">
        <v>586</v>
      </c>
      <c r="B587" t="s">
        <v>18</v>
      </c>
      <c r="C587" t="s">
        <v>7</v>
      </c>
      <c r="D587" t="s">
        <v>8</v>
      </c>
      <c r="E587" t="s">
        <v>19</v>
      </c>
      <c r="F587" t="s">
        <v>23</v>
      </c>
    </row>
    <row r="588" spans="1:6" x14ac:dyDescent="0.3">
      <c r="A588">
        <v>587</v>
      </c>
      <c r="B588" t="s">
        <v>6</v>
      </c>
      <c r="C588" t="s">
        <v>12</v>
      </c>
      <c r="D588" t="s">
        <v>8</v>
      </c>
      <c r="E588" t="s">
        <v>9</v>
      </c>
      <c r="F588" t="s">
        <v>23</v>
      </c>
    </row>
    <row r="589" spans="1:6" x14ac:dyDescent="0.3">
      <c r="A589">
        <v>588</v>
      </c>
      <c r="B589" t="s">
        <v>16</v>
      </c>
      <c r="C589" t="s">
        <v>12</v>
      </c>
      <c r="D589" t="s">
        <v>1</v>
      </c>
      <c r="E589" t="s">
        <v>21</v>
      </c>
      <c r="F589" t="s">
        <v>13</v>
      </c>
    </row>
    <row r="590" spans="1:6" x14ac:dyDescent="0.3">
      <c r="A590">
        <v>589</v>
      </c>
      <c r="B590" t="s">
        <v>11</v>
      </c>
      <c r="C590" t="s">
        <v>12</v>
      </c>
      <c r="D590" t="s">
        <v>1</v>
      </c>
      <c r="E590" t="s">
        <v>21</v>
      </c>
      <c r="F590" t="s">
        <v>13</v>
      </c>
    </row>
    <row r="591" spans="1:6" x14ac:dyDescent="0.3">
      <c r="A591">
        <v>590</v>
      </c>
      <c r="B591" t="s">
        <v>25</v>
      </c>
      <c r="C591" t="s">
        <v>12</v>
      </c>
      <c r="D591" t="s">
        <v>1</v>
      </c>
      <c r="E591" t="s">
        <v>21</v>
      </c>
      <c r="F591" t="s">
        <v>23</v>
      </c>
    </row>
    <row r="592" spans="1:6" x14ac:dyDescent="0.3">
      <c r="A592">
        <v>591</v>
      </c>
      <c r="B592" t="s">
        <v>11</v>
      </c>
      <c r="C592" t="s">
        <v>12</v>
      </c>
      <c r="D592" t="s">
        <v>1</v>
      </c>
      <c r="E592" t="s">
        <v>15</v>
      </c>
      <c r="F592" t="s">
        <v>13</v>
      </c>
    </row>
    <row r="593" spans="1:6" x14ac:dyDescent="0.3">
      <c r="A593">
        <v>592</v>
      </c>
      <c r="B593" t="s">
        <v>11</v>
      </c>
      <c r="C593" t="s">
        <v>12</v>
      </c>
      <c r="D593" t="s">
        <v>22</v>
      </c>
      <c r="E593" t="s">
        <v>21</v>
      </c>
      <c r="F593" t="s">
        <v>23</v>
      </c>
    </row>
    <row r="594" spans="1:6" x14ac:dyDescent="0.3">
      <c r="A594">
        <v>593</v>
      </c>
      <c r="B594" t="s">
        <v>18</v>
      </c>
      <c r="C594" t="s">
        <v>7</v>
      </c>
      <c r="D594" t="s">
        <v>8</v>
      </c>
      <c r="E594" t="s">
        <v>21</v>
      </c>
      <c r="F594" t="s">
        <v>23</v>
      </c>
    </row>
    <row r="595" spans="1:6" x14ac:dyDescent="0.3">
      <c r="A595">
        <v>594</v>
      </c>
      <c r="B595" t="s">
        <v>16</v>
      </c>
      <c r="C595" t="s">
        <v>12</v>
      </c>
      <c r="D595" t="s">
        <v>1</v>
      </c>
      <c r="E595" t="s">
        <v>9</v>
      </c>
      <c r="F595" t="s">
        <v>10</v>
      </c>
    </row>
    <row r="596" spans="1:6" x14ac:dyDescent="0.3">
      <c r="A596">
        <v>595</v>
      </c>
      <c r="B596" t="s">
        <v>18</v>
      </c>
      <c r="C596" t="s">
        <v>7</v>
      </c>
      <c r="D596" t="s">
        <v>1</v>
      </c>
      <c r="E596" t="s">
        <v>21</v>
      </c>
      <c r="F596" t="s">
        <v>23</v>
      </c>
    </row>
    <row r="597" spans="1:6" x14ac:dyDescent="0.3">
      <c r="A597">
        <v>596</v>
      </c>
      <c r="B597" t="s">
        <v>6</v>
      </c>
      <c r="C597" t="s">
        <v>12</v>
      </c>
      <c r="D597" t="s">
        <v>1</v>
      </c>
      <c r="E597" t="s">
        <v>15</v>
      </c>
      <c r="F597" t="s">
        <v>23</v>
      </c>
    </row>
    <row r="598" spans="1:6" x14ac:dyDescent="0.3">
      <c r="A598">
        <v>597</v>
      </c>
      <c r="B598" t="s">
        <v>25</v>
      </c>
      <c r="C598" t="s">
        <v>12</v>
      </c>
      <c r="D598" t="s">
        <v>8</v>
      </c>
      <c r="E598" t="s">
        <v>9</v>
      </c>
      <c r="F598" t="s">
        <v>10</v>
      </c>
    </row>
    <row r="599" spans="1:6" x14ac:dyDescent="0.3">
      <c r="A599">
        <v>598</v>
      </c>
      <c r="B599" t="s">
        <v>16</v>
      </c>
      <c r="C599" t="s">
        <v>12</v>
      </c>
      <c r="D599" t="s">
        <v>8</v>
      </c>
      <c r="E599" t="s">
        <v>9</v>
      </c>
      <c r="F599" t="s">
        <v>23</v>
      </c>
    </row>
    <row r="600" spans="1:6" x14ac:dyDescent="0.3">
      <c r="A600">
        <v>599</v>
      </c>
      <c r="B600" t="s">
        <v>16</v>
      </c>
      <c r="C600" t="s">
        <v>7</v>
      </c>
      <c r="D600" t="s">
        <v>1</v>
      </c>
      <c r="E600" t="s">
        <v>17</v>
      </c>
      <c r="F600" t="s">
        <v>10</v>
      </c>
    </row>
    <row r="601" spans="1:6" x14ac:dyDescent="0.3">
      <c r="A601">
        <v>600</v>
      </c>
      <c r="B601" t="s">
        <v>6</v>
      </c>
      <c r="C601" t="s">
        <v>12</v>
      </c>
      <c r="D601" t="s">
        <v>1</v>
      </c>
      <c r="E601" t="s">
        <v>19</v>
      </c>
      <c r="F601" t="s">
        <v>10</v>
      </c>
    </row>
    <row r="602" spans="1:6" x14ac:dyDescent="0.3">
      <c r="A602">
        <v>601</v>
      </c>
      <c r="B602" t="s">
        <v>6</v>
      </c>
      <c r="C602" t="s">
        <v>24</v>
      </c>
      <c r="D602" t="s">
        <v>1</v>
      </c>
      <c r="E602" t="s">
        <v>15</v>
      </c>
      <c r="F602" t="s">
        <v>13</v>
      </c>
    </row>
    <row r="603" spans="1:6" x14ac:dyDescent="0.3">
      <c r="A603">
        <v>602</v>
      </c>
      <c r="B603" t="s">
        <v>14</v>
      </c>
      <c r="C603" t="s">
        <v>7</v>
      </c>
      <c r="D603" t="s">
        <v>1</v>
      </c>
      <c r="E603" t="s">
        <v>9</v>
      </c>
      <c r="F603" t="s">
        <v>13</v>
      </c>
    </row>
    <row r="604" spans="1:6" x14ac:dyDescent="0.3">
      <c r="A604">
        <v>603</v>
      </c>
      <c r="B604" t="s">
        <v>25</v>
      </c>
      <c r="C604" t="s">
        <v>7</v>
      </c>
      <c r="D604" t="s">
        <v>22</v>
      </c>
      <c r="E604" t="s">
        <v>21</v>
      </c>
      <c r="F604" t="s">
        <v>20</v>
      </c>
    </row>
    <row r="605" spans="1:6" x14ac:dyDescent="0.3">
      <c r="A605">
        <v>604</v>
      </c>
      <c r="B605" t="s">
        <v>25</v>
      </c>
      <c r="C605" t="s">
        <v>12</v>
      </c>
      <c r="D605" t="s">
        <v>1</v>
      </c>
      <c r="E605" t="s">
        <v>21</v>
      </c>
      <c r="F605" t="s">
        <v>20</v>
      </c>
    </row>
    <row r="606" spans="1:6" x14ac:dyDescent="0.3">
      <c r="A606">
        <v>605</v>
      </c>
      <c r="B606" t="s">
        <v>14</v>
      </c>
      <c r="C606" t="s">
        <v>12</v>
      </c>
      <c r="D606" t="s">
        <v>22</v>
      </c>
      <c r="E606" t="s">
        <v>21</v>
      </c>
      <c r="F606" t="s">
        <v>23</v>
      </c>
    </row>
    <row r="607" spans="1:6" x14ac:dyDescent="0.3">
      <c r="A607">
        <v>606</v>
      </c>
      <c r="B607" t="s">
        <v>25</v>
      </c>
      <c r="C607" t="s">
        <v>12</v>
      </c>
      <c r="D607" t="s">
        <v>1</v>
      </c>
      <c r="E607" t="s">
        <v>21</v>
      </c>
      <c r="F607" t="s">
        <v>20</v>
      </c>
    </row>
    <row r="608" spans="1:6" x14ac:dyDescent="0.3">
      <c r="A608">
        <v>607</v>
      </c>
      <c r="B608" t="s">
        <v>6</v>
      </c>
      <c r="C608" t="s">
        <v>12</v>
      </c>
      <c r="D608" t="s">
        <v>22</v>
      </c>
      <c r="E608" t="s">
        <v>21</v>
      </c>
      <c r="F608" t="s">
        <v>20</v>
      </c>
    </row>
    <row r="609" spans="1:6" x14ac:dyDescent="0.3">
      <c r="A609">
        <v>608</v>
      </c>
      <c r="B609" t="s">
        <v>14</v>
      </c>
      <c r="C609" t="s">
        <v>12</v>
      </c>
      <c r="D609" t="s">
        <v>1</v>
      </c>
      <c r="E609" t="s">
        <v>21</v>
      </c>
      <c r="F609" t="s">
        <v>20</v>
      </c>
    </row>
    <row r="610" spans="1:6" x14ac:dyDescent="0.3">
      <c r="A610">
        <v>609</v>
      </c>
      <c r="B610" t="s">
        <v>16</v>
      </c>
      <c r="C610" t="s">
        <v>7</v>
      </c>
      <c r="D610" t="s">
        <v>8</v>
      </c>
      <c r="E610" t="s">
        <v>9</v>
      </c>
      <c r="F610" t="s">
        <v>13</v>
      </c>
    </row>
    <row r="611" spans="1:6" x14ac:dyDescent="0.3">
      <c r="A611">
        <v>610</v>
      </c>
      <c r="B611" t="s">
        <v>14</v>
      </c>
      <c r="C611" t="s">
        <v>12</v>
      </c>
      <c r="D611" t="s">
        <v>8</v>
      </c>
      <c r="E611" t="s">
        <v>9</v>
      </c>
      <c r="F611" t="s">
        <v>10</v>
      </c>
    </row>
    <row r="612" spans="1:6" x14ac:dyDescent="0.3">
      <c r="A612">
        <v>611</v>
      </c>
      <c r="B612" t="s">
        <v>14</v>
      </c>
      <c r="C612" t="s">
        <v>7</v>
      </c>
      <c r="D612" t="s">
        <v>8</v>
      </c>
      <c r="E612" t="s">
        <v>9</v>
      </c>
      <c r="F612" t="s">
        <v>10</v>
      </c>
    </row>
    <row r="613" spans="1:6" x14ac:dyDescent="0.3">
      <c r="A613">
        <v>612</v>
      </c>
      <c r="B613" t="s">
        <v>16</v>
      </c>
      <c r="C613" t="s">
        <v>12</v>
      </c>
      <c r="D613" t="s">
        <v>22</v>
      </c>
      <c r="E613" t="s">
        <v>9</v>
      </c>
      <c r="F613" t="s">
        <v>10</v>
      </c>
    </row>
    <row r="614" spans="1:6" x14ac:dyDescent="0.3">
      <c r="A614">
        <v>613</v>
      </c>
      <c r="B614" t="s">
        <v>14</v>
      </c>
      <c r="C614" t="s">
        <v>7</v>
      </c>
      <c r="D614" t="s">
        <v>8</v>
      </c>
      <c r="E614" t="s">
        <v>9</v>
      </c>
      <c r="F614" t="s">
        <v>10</v>
      </c>
    </row>
    <row r="615" spans="1:6" x14ac:dyDescent="0.3">
      <c r="A615">
        <v>614</v>
      </c>
      <c r="B615" t="s">
        <v>14</v>
      </c>
      <c r="C615" t="s">
        <v>7</v>
      </c>
      <c r="D615" t="s">
        <v>22</v>
      </c>
      <c r="E615" t="s">
        <v>21</v>
      </c>
      <c r="F615" t="s">
        <v>23</v>
      </c>
    </row>
    <row r="616" spans="1:6" x14ac:dyDescent="0.3">
      <c r="A616">
        <v>615</v>
      </c>
      <c r="B616" t="s">
        <v>14</v>
      </c>
      <c r="C616" t="s">
        <v>7</v>
      </c>
      <c r="D616" t="s">
        <v>1</v>
      </c>
      <c r="E616" t="s">
        <v>21</v>
      </c>
      <c r="F616" t="s">
        <v>13</v>
      </c>
    </row>
    <row r="617" spans="1:6" x14ac:dyDescent="0.3">
      <c r="A617">
        <v>616</v>
      </c>
      <c r="B617" t="s">
        <v>6</v>
      </c>
      <c r="C617" t="s">
        <v>7</v>
      </c>
      <c r="D617" t="s">
        <v>22</v>
      </c>
      <c r="E617" t="s">
        <v>9</v>
      </c>
      <c r="F617" t="s">
        <v>13</v>
      </c>
    </row>
    <row r="618" spans="1:6" x14ac:dyDescent="0.3">
      <c r="A618">
        <v>617</v>
      </c>
      <c r="B618" t="s">
        <v>18</v>
      </c>
      <c r="C618" t="s">
        <v>12</v>
      </c>
      <c r="D618" t="s">
        <v>8</v>
      </c>
      <c r="E618" t="s">
        <v>19</v>
      </c>
      <c r="F618" t="s">
        <v>20</v>
      </c>
    </row>
    <row r="619" spans="1:6" x14ac:dyDescent="0.3">
      <c r="A619">
        <v>618</v>
      </c>
      <c r="B619" t="s">
        <v>16</v>
      </c>
      <c r="C619" t="s">
        <v>7</v>
      </c>
      <c r="D619" t="s">
        <v>22</v>
      </c>
      <c r="E619" t="s">
        <v>21</v>
      </c>
      <c r="F619" t="s">
        <v>20</v>
      </c>
    </row>
    <row r="620" spans="1:6" x14ac:dyDescent="0.3">
      <c r="A620">
        <v>619</v>
      </c>
      <c r="B620" t="s">
        <v>11</v>
      </c>
      <c r="C620" t="s">
        <v>12</v>
      </c>
      <c r="D620" t="s">
        <v>22</v>
      </c>
      <c r="E620" t="s">
        <v>21</v>
      </c>
      <c r="F620" t="s">
        <v>13</v>
      </c>
    </row>
    <row r="621" spans="1:6" x14ac:dyDescent="0.3">
      <c r="A621">
        <v>620</v>
      </c>
      <c r="B621" t="s">
        <v>18</v>
      </c>
      <c r="C621" t="s">
        <v>7</v>
      </c>
      <c r="D621" t="s">
        <v>8</v>
      </c>
      <c r="E621" t="s">
        <v>19</v>
      </c>
      <c r="F621" t="s">
        <v>23</v>
      </c>
    </row>
    <row r="622" spans="1:6" x14ac:dyDescent="0.3">
      <c r="A622">
        <v>621</v>
      </c>
      <c r="B622" t="s">
        <v>6</v>
      </c>
      <c r="C622" t="s">
        <v>7</v>
      </c>
      <c r="D622" t="s">
        <v>8</v>
      </c>
      <c r="E622" t="s">
        <v>9</v>
      </c>
      <c r="F622" t="s">
        <v>10</v>
      </c>
    </row>
    <row r="623" spans="1:6" x14ac:dyDescent="0.3">
      <c r="A623">
        <v>622</v>
      </c>
      <c r="B623" t="s">
        <v>14</v>
      </c>
      <c r="C623" t="s">
        <v>24</v>
      </c>
      <c r="D623" t="s">
        <v>1</v>
      </c>
      <c r="E623" t="s">
        <v>26</v>
      </c>
      <c r="F623" t="s">
        <v>23</v>
      </c>
    </row>
    <row r="624" spans="1:6" x14ac:dyDescent="0.3">
      <c r="A624">
        <v>623</v>
      </c>
      <c r="B624" t="s">
        <v>16</v>
      </c>
      <c r="C624" t="s">
        <v>7</v>
      </c>
      <c r="D624" t="s">
        <v>22</v>
      </c>
      <c r="E624" t="s">
        <v>21</v>
      </c>
      <c r="F624" t="s">
        <v>23</v>
      </c>
    </row>
    <row r="625" spans="1:6" x14ac:dyDescent="0.3">
      <c r="A625">
        <v>624</v>
      </c>
      <c r="B625" t="s">
        <v>25</v>
      </c>
      <c r="C625" t="s">
        <v>12</v>
      </c>
      <c r="D625" t="s">
        <v>8</v>
      </c>
      <c r="E625" t="s">
        <v>19</v>
      </c>
      <c r="F625" t="s">
        <v>20</v>
      </c>
    </row>
    <row r="626" spans="1:6" x14ac:dyDescent="0.3">
      <c r="A626">
        <v>625</v>
      </c>
      <c r="B626" t="s">
        <v>18</v>
      </c>
      <c r="C626" t="s">
        <v>12</v>
      </c>
      <c r="D626" t="s">
        <v>22</v>
      </c>
      <c r="E626" t="s">
        <v>21</v>
      </c>
      <c r="F626" t="s">
        <v>23</v>
      </c>
    </row>
    <row r="627" spans="1:6" x14ac:dyDescent="0.3">
      <c r="A627">
        <v>626</v>
      </c>
      <c r="B627" t="s">
        <v>11</v>
      </c>
      <c r="C627" t="s">
        <v>7</v>
      </c>
      <c r="D627" t="s">
        <v>8</v>
      </c>
      <c r="E627" t="s">
        <v>15</v>
      </c>
      <c r="F627" t="s">
        <v>13</v>
      </c>
    </row>
    <row r="628" spans="1:6" x14ac:dyDescent="0.3">
      <c r="A628">
        <v>627</v>
      </c>
      <c r="B628" t="s">
        <v>18</v>
      </c>
      <c r="C628" t="s">
        <v>7</v>
      </c>
      <c r="D628" t="s">
        <v>1</v>
      </c>
      <c r="E628" t="s">
        <v>21</v>
      </c>
      <c r="F628" t="s">
        <v>13</v>
      </c>
    </row>
    <row r="629" spans="1:6" x14ac:dyDescent="0.3">
      <c r="A629">
        <v>628</v>
      </c>
      <c r="B629" t="s">
        <v>11</v>
      </c>
      <c r="C629" t="s">
        <v>12</v>
      </c>
      <c r="D629" t="s">
        <v>8</v>
      </c>
      <c r="E629" t="s">
        <v>15</v>
      </c>
      <c r="F629" t="s">
        <v>20</v>
      </c>
    </row>
    <row r="630" spans="1:6" x14ac:dyDescent="0.3">
      <c r="A630">
        <v>629</v>
      </c>
      <c r="B630" t="s">
        <v>18</v>
      </c>
      <c r="C630" t="s">
        <v>24</v>
      </c>
      <c r="D630" t="s">
        <v>22</v>
      </c>
      <c r="E630" t="s">
        <v>17</v>
      </c>
      <c r="F630" t="s">
        <v>10</v>
      </c>
    </row>
    <row r="631" spans="1:6" x14ac:dyDescent="0.3">
      <c r="A631">
        <v>630</v>
      </c>
      <c r="B631" t="s">
        <v>14</v>
      </c>
      <c r="C631" t="s">
        <v>24</v>
      </c>
      <c r="D631" t="s">
        <v>8</v>
      </c>
      <c r="E631" t="s">
        <v>15</v>
      </c>
      <c r="F631" t="s">
        <v>13</v>
      </c>
    </row>
    <row r="632" spans="1:6" x14ac:dyDescent="0.3">
      <c r="A632">
        <v>631</v>
      </c>
      <c r="B632" t="s">
        <v>18</v>
      </c>
      <c r="C632" t="s">
        <v>7</v>
      </c>
      <c r="D632" t="s">
        <v>8</v>
      </c>
      <c r="E632" t="s">
        <v>21</v>
      </c>
      <c r="F632" t="s">
        <v>13</v>
      </c>
    </row>
    <row r="633" spans="1:6" x14ac:dyDescent="0.3">
      <c r="A633">
        <v>632</v>
      </c>
      <c r="B633" t="s">
        <v>25</v>
      </c>
      <c r="C633" t="s">
        <v>7</v>
      </c>
      <c r="D633" t="s">
        <v>22</v>
      </c>
      <c r="E633" t="s">
        <v>21</v>
      </c>
      <c r="F633" t="s">
        <v>13</v>
      </c>
    </row>
    <row r="634" spans="1:6" x14ac:dyDescent="0.3">
      <c r="A634">
        <v>633</v>
      </c>
      <c r="B634" t="s">
        <v>14</v>
      </c>
      <c r="C634" t="s">
        <v>12</v>
      </c>
      <c r="D634" t="s">
        <v>1</v>
      </c>
      <c r="E634" t="s">
        <v>21</v>
      </c>
      <c r="F634" t="s">
        <v>13</v>
      </c>
    </row>
    <row r="635" spans="1:6" x14ac:dyDescent="0.3">
      <c r="A635">
        <v>634</v>
      </c>
      <c r="B635" t="s">
        <v>16</v>
      </c>
      <c r="C635" t="s">
        <v>7</v>
      </c>
      <c r="D635" t="s">
        <v>8</v>
      </c>
      <c r="E635" t="s">
        <v>19</v>
      </c>
      <c r="F635" t="s">
        <v>20</v>
      </c>
    </row>
    <row r="636" spans="1:6" x14ac:dyDescent="0.3">
      <c r="A636">
        <v>635</v>
      </c>
      <c r="B636" t="s">
        <v>6</v>
      </c>
      <c r="C636" t="s">
        <v>7</v>
      </c>
      <c r="D636" t="s">
        <v>1</v>
      </c>
      <c r="E636" t="s">
        <v>19</v>
      </c>
      <c r="F636" t="s">
        <v>10</v>
      </c>
    </row>
    <row r="637" spans="1:6" x14ac:dyDescent="0.3">
      <c r="A637">
        <v>636</v>
      </c>
      <c r="B637" t="s">
        <v>25</v>
      </c>
      <c r="C637" t="s">
        <v>7</v>
      </c>
      <c r="D637" t="s">
        <v>8</v>
      </c>
      <c r="E637" t="s">
        <v>19</v>
      </c>
      <c r="F637" t="s">
        <v>23</v>
      </c>
    </row>
    <row r="638" spans="1:6" x14ac:dyDescent="0.3">
      <c r="A638">
        <v>637</v>
      </c>
      <c r="B638" t="s">
        <v>6</v>
      </c>
      <c r="C638" t="s">
        <v>7</v>
      </c>
      <c r="D638" t="s">
        <v>22</v>
      </c>
      <c r="E638" t="s">
        <v>21</v>
      </c>
      <c r="F638" t="s">
        <v>13</v>
      </c>
    </row>
    <row r="639" spans="1:6" x14ac:dyDescent="0.3">
      <c r="A639">
        <v>638</v>
      </c>
      <c r="B639" t="s">
        <v>16</v>
      </c>
      <c r="C639" t="s">
        <v>12</v>
      </c>
      <c r="D639" t="s">
        <v>22</v>
      </c>
      <c r="E639" t="s">
        <v>9</v>
      </c>
      <c r="F639" t="s">
        <v>13</v>
      </c>
    </row>
    <row r="640" spans="1:6" x14ac:dyDescent="0.3">
      <c r="A640">
        <v>639</v>
      </c>
      <c r="B640" t="s">
        <v>6</v>
      </c>
      <c r="C640" t="s">
        <v>12</v>
      </c>
      <c r="D640" t="s">
        <v>22</v>
      </c>
      <c r="E640" t="s">
        <v>9</v>
      </c>
      <c r="F640" t="s">
        <v>10</v>
      </c>
    </row>
    <row r="641" spans="1:6" x14ac:dyDescent="0.3">
      <c r="A641">
        <v>640</v>
      </c>
      <c r="B641" t="s">
        <v>11</v>
      </c>
      <c r="C641" t="s">
        <v>7</v>
      </c>
      <c r="D641" t="s">
        <v>1</v>
      </c>
      <c r="E641" t="s">
        <v>9</v>
      </c>
      <c r="F641" t="s">
        <v>13</v>
      </c>
    </row>
    <row r="642" spans="1:6" x14ac:dyDescent="0.3">
      <c r="A642">
        <v>641</v>
      </c>
      <c r="B642" t="s">
        <v>25</v>
      </c>
      <c r="C642" t="s">
        <v>12</v>
      </c>
      <c r="D642" t="s">
        <v>1</v>
      </c>
      <c r="E642" t="s">
        <v>9</v>
      </c>
      <c r="F642" t="s">
        <v>10</v>
      </c>
    </row>
    <row r="643" spans="1:6" x14ac:dyDescent="0.3">
      <c r="A643">
        <v>642</v>
      </c>
      <c r="B643" t="s">
        <v>25</v>
      </c>
      <c r="C643" t="s">
        <v>12</v>
      </c>
      <c r="D643" t="s">
        <v>8</v>
      </c>
      <c r="E643" t="s">
        <v>19</v>
      </c>
      <c r="F643" t="s">
        <v>13</v>
      </c>
    </row>
    <row r="644" spans="1:6" x14ac:dyDescent="0.3">
      <c r="A644">
        <v>643</v>
      </c>
      <c r="B644" t="s">
        <v>14</v>
      </c>
      <c r="C644" t="s">
        <v>7</v>
      </c>
      <c r="D644" t="s">
        <v>8</v>
      </c>
      <c r="E644" t="s">
        <v>17</v>
      </c>
      <c r="F644" t="s">
        <v>10</v>
      </c>
    </row>
    <row r="645" spans="1:6" x14ac:dyDescent="0.3">
      <c r="A645">
        <v>644</v>
      </c>
      <c r="B645" t="s">
        <v>18</v>
      </c>
      <c r="C645" t="s">
        <v>12</v>
      </c>
      <c r="D645" t="s">
        <v>8</v>
      </c>
      <c r="E645" t="s">
        <v>19</v>
      </c>
      <c r="F645" t="s">
        <v>10</v>
      </c>
    </row>
    <row r="646" spans="1:6" x14ac:dyDescent="0.3">
      <c r="A646">
        <v>645</v>
      </c>
      <c r="B646" t="s">
        <v>16</v>
      </c>
      <c r="C646" t="s">
        <v>7</v>
      </c>
      <c r="D646" t="s">
        <v>22</v>
      </c>
      <c r="E646" t="s">
        <v>21</v>
      </c>
      <c r="F646" t="s">
        <v>20</v>
      </c>
    </row>
    <row r="647" spans="1:6" x14ac:dyDescent="0.3">
      <c r="A647">
        <v>646</v>
      </c>
      <c r="B647" t="s">
        <v>11</v>
      </c>
      <c r="C647" t="s">
        <v>12</v>
      </c>
      <c r="D647" t="s">
        <v>8</v>
      </c>
      <c r="E647" t="s">
        <v>19</v>
      </c>
      <c r="F647" t="s">
        <v>10</v>
      </c>
    </row>
    <row r="648" spans="1:6" x14ac:dyDescent="0.3">
      <c r="A648">
        <v>647</v>
      </c>
      <c r="B648" t="s">
        <v>14</v>
      </c>
      <c r="C648" t="s">
        <v>7</v>
      </c>
      <c r="D648" t="s">
        <v>1</v>
      </c>
      <c r="E648" t="s">
        <v>15</v>
      </c>
      <c r="F648" t="s">
        <v>13</v>
      </c>
    </row>
    <row r="649" spans="1:6" x14ac:dyDescent="0.3">
      <c r="A649">
        <v>648</v>
      </c>
      <c r="B649" t="s">
        <v>6</v>
      </c>
      <c r="C649" t="s">
        <v>24</v>
      </c>
      <c r="D649" t="s">
        <v>1</v>
      </c>
      <c r="E649" t="s">
        <v>17</v>
      </c>
      <c r="F649" t="s">
        <v>10</v>
      </c>
    </row>
    <row r="650" spans="1:6" x14ac:dyDescent="0.3">
      <c r="A650">
        <v>649</v>
      </c>
      <c r="B650" t="s">
        <v>11</v>
      </c>
      <c r="C650" t="s">
        <v>12</v>
      </c>
      <c r="D650" t="s">
        <v>1</v>
      </c>
      <c r="E650" t="s">
        <v>21</v>
      </c>
      <c r="F650" t="s">
        <v>13</v>
      </c>
    </row>
    <row r="651" spans="1:6" x14ac:dyDescent="0.3">
      <c r="A651">
        <v>650</v>
      </c>
      <c r="B651" t="s">
        <v>11</v>
      </c>
      <c r="C651" t="s">
        <v>7</v>
      </c>
      <c r="D651" t="s">
        <v>1</v>
      </c>
      <c r="E651" t="s">
        <v>9</v>
      </c>
      <c r="F651" t="s">
        <v>10</v>
      </c>
    </row>
    <row r="652" spans="1:6" x14ac:dyDescent="0.3">
      <c r="A652">
        <v>651</v>
      </c>
      <c r="B652" t="s">
        <v>25</v>
      </c>
      <c r="C652" t="s">
        <v>12</v>
      </c>
      <c r="D652" t="s">
        <v>8</v>
      </c>
      <c r="E652" t="s">
        <v>19</v>
      </c>
      <c r="F652" t="s">
        <v>20</v>
      </c>
    </row>
    <row r="653" spans="1:6" x14ac:dyDescent="0.3">
      <c r="A653">
        <v>652</v>
      </c>
      <c r="B653" t="s">
        <v>14</v>
      </c>
      <c r="C653" t="s">
        <v>12</v>
      </c>
      <c r="D653" t="s">
        <v>22</v>
      </c>
      <c r="E653" t="s">
        <v>21</v>
      </c>
      <c r="F653" t="s">
        <v>23</v>
      </c>
    </row>
    <row r="654" spans="1:6" x14ac:dyDescent="0.3">
      <c r="A654">
        <v>653</v>
      </c>
      <c r="B654" t="s">
        <v>18</v>
      </c>
      <c r="C654" t="s">
        <v>7</v>
      </c>
      <c r="D654" t="s">
        <v>8</v>
      </c>
      <c r="E654" t="s">
        <v>19</v>
      </c>
      <c r="F654" t="s">
        <v>20</v>
      </c>
    </row>
    <row r="655" spans="1:6" x14ac:dyDescent="0.3">
      <c r="A655">
        <v>654</v>
      </c>
      <c r="B655" t="s">
        <v>14</v>
      </c>
      <c r="C655" t="s">
        <v>7</v>
      </c>
      <c r="D655" t="s">
        <v>22</v>
      </c>
      <c r="E655" t="s">
        <v>9</v>
      </c>
      <c r="F655" t="s">
        <v>23</v>
      </c>
    </row>
    <row r="656" spans="1:6" x14ac:dyDescent="0.3">
      <c r="A656">
        <v>655</v>
      </c>
      <c r="B656" t="s">
        <v>14</v>
      </c>
      <c r="C656" t="s">
        <v>12</v>
      </c>
      <c r="D656" t="s">
        <v>22</v>
      </c>
      <c r="E656" t="s">
        <v>15</v>
      </c>
      <c r="F656" t="s">
        <v>13</v>
      </c>
    </row>
    <row r="657" spans="1:6" x14ac:dyDescent="0.3">
      <c r="A657">
        <v>656</v>
      </c>
      <c r="B657" t="s">
        <v>25</v>
      </c>
      <c r="C657" t="s">
        <v>12</v>
      </c>
      <c r="D657" t="s">
        <v>1</v>
      </c>
      <c r="E657" t="s">
        <v>21</v>
      </c>
      <c r="F657" t="s">
        <v>23</v>
      </c>
    </row>
    <row r="658" spans="1:6" x14ac:dyDescent="0.3">
      <c r="A658">
        <v>657</v>
      </c>
      <c r="B658" t="s">
        <v>25</v>
      </c>
      <c r="C658" t="s">
        <v>7</v>
      </c>
      <c r="D658" t="s">
        <v>1</v>
      </c>
      <c r="E658" t="s">
        <v>9</v>
      </c>
      <c r="F658" t="s">
        <v>23</v>
      </c>
    </row>
    <row r="659" spans="1:6" x14ac:dyDescent="0.3">
      <c r="A659">
        <v>658</v>
      </c>
      <c r="B659" t="s">
        <v>18</v>
      </c>
      <c r="C659" t="s">
        <v>12</v>
      </c>
      <c r="D659" t="s">
        <v>1</v>
      </c>
      <c r="E659" t="s">
        <v>21</v>
      </c>
      <c r="F659" t="s">
        <v>13</v>
      </c>
    </row>
    <row r="660" spans="1:6" x14ac:dyDescent="0.3">
      <c r="A660">
        <v>659</v>
      </c>
      <c r="B660" t="s">
        <v>6</v>
      </c>
      <c r="C660" t="s">
        <v>12</v>
      </c>
      <c r="D660" t="s">
        <v>8</v>
      </c>
      <c r="E660" t="s">
        <v>9</v>
      </c>
      <c r="F660" t="s">
        <v>10</v>
      </c>
    </row>
    <row r="661" spans="1:6" x14ac:dyDescent="0.3">
      <c r="A661">
        <v>660</v>
      </c>
      <c r="B661" t="s">
        <v>6</v>
      </c>
      <c r="C661" t="s">
        <v>12</v>
      </c>
      <c r="D661" t="s">
        <v>1</v>
      </c>
      <c r="E661" t="s">
        <v>21</v>
      </c>
      <c r="F661" t="s">
        <v>13</v>
      </c>
    </row>
    <row r="662" spans="1:6" x14ac:dyDescent="0.3">
      <c r="A662">
        <v>661</v>
      </c>
      <c r="B662" t="s">
        <v>11</v>
      </c>
      <c r="C662" t="s">
        <v>12</v>
      </c>
      <c r="D662" t="s">
        <v>8</v>
      </c>
      <c r="E662" t="s">
        <v>19</v>
      </c>
      <c r="F662" t="s">
        <v>23</v>
      </c>
    </row>
    <row r="663" spans="1:6" x14ac:dyDescent="0.3">
      <c r="A663">
        <v>662</v>
      </c>
      <c r="B663" t="s">
        <v>11</v>
      </c>
      <c r="C663" t="s">
        <v>12</v>
      </c>
      <c r="D663" t="s">
        <v>22</v>
      </c>
      <c r="E663" t="s">
        <v>21</v>
      </c>
      <c r="F663" t="s">
        <v>20</v>
      </c>
    </row>
    <row r="664" spans="1:6" x14ac:dyDescent="0.3">
      <c r="A664">
        <v>663</v>
      </c>
      <c r="B664" t="s">
        <v>18</v>
      </c>
      <c r="C664" t="s">
        <v>12</v>
      </c>
      <c r="D664" t="s">
        <v>8</v>
      </c>
      <c r="E664" t="s">
        <v>9</v>
      </c>
      <c r="F664" t="s">
        <v>13</v>
      </c>
    </row>
    <row r="665" spans="1:6" x14ac:dyDescent="0.3">
      <c r="A665">
        <v>664</v>
      </c>
      <c r="B665" t="s">
        <v>11</v>
      </c>
      <c r="C665" t="s">
        <v>12</v>
      </c>
      <c r="D665" t="s">
        <v>1</v>
      </c>
      <c r="E665" t="s">
        <v>21</v>
      </c>
      <c r="F665" t="s">
        <v>23</v>
      </c>
    </row>
    <row r="666" spans="1:6" x14ac:dyDescent="0.3">
      <c r="A666">
        <v>665</v>
      </c>
      <c r="B666" t="s">
        <v>11</v>
      </c>
      <c r="C666" t="s">
        <v>7</v>
      </c>
      <c r="D666" t="s">
        <v>1</v>
      </c>
      <c r="E666" t="s">
        <v>17</v>
      </c>
      <c r="F666" t="s">
        <v>10</v>
      </c>
    </row>
    <row r="667" spans="1:6" x14ac:dyDescent="0.3">
      <c r="A667">
        <v>666</v>
      </c>
      <c r="B667" t="s">
        <v>16</v>
      </c>
      <c r="C667" t="s">
        <v>24</v>
      </c>
      <c r="D667" t="s">
        <v>22</v>
      </c>
      <c r="E667" t="s">
        <v>17</v>
      </c>
      <c r="F667" t="s">
        <v>10</v>
      </c>
    </row>
    <row r="668" spans="1:6" x14ac:dyDescent="0.3">
      <c r="A668">
        <v>667</v>
      </c>
      <c r="B668" t="s">
        <v>18</v>
      </c>
      <c r="C668" t="s">
        <v>7</v>
      </c>
      <c r="D668" t="s">
        <v>8</v>
      </c>
      <c r="E668" t="s">
        <v>9</v>
      </c>
      <c r="F668" t="s">
        <v>10</v>
      </c>
    </row>
    <row r="669" spans="1:6" x14ac:dyDescent="0.3">
      <c r="A669">
        <v>668</v>
      </c>
      <c r="B669" t="s">
        <v>16</v>
      </c>
      <c r="C669" t="s">
        <v>12</v>
      </c>
      <c r="D669" t="s">
        <v>1</v>
      </c>
      <c r="E669" t="s">
        <v>21</v>
      </c>
      <c r="F669" t="s">
        <v>13</v>
      </c>
    </row>
    <row r="670" spans="1:6" x14ac:dyDescent="0.3">
      <c r="A670">
        <v>669</v>
      </c>
      <c r="B670" t="s">
        <v>6</v>
      </c>
      <c r="C670" t="s">
        <v>7</v>
      </c>
      <c r="D670" t="s">
        <v>8</v>
      </c>
      <c r="E670" t="s">
        <v>19</v>
      </c>
      <c r="F670" t="s">
        <v>23</v>
      </c>
    </row>
    <row r="671" spans="1:6" x14ac:dyDescent="0.3">
      <c r="A671">
        <v>670</v>
      </c>
      <c r="B671" t="s">
        <v>18</v>
      </c>
      <c r="C671" t="s">
        <v>12</v>
      </c>
      <c r="D671" t="s">
        <v>8</v>
      </c>
      <c r="E671" t="s">
        <v>19</v>
      </c>
      <c r="F671" t="s">
        <v>20</v>
      </c>
    </row>
    <row r="672" spans="1:6" x14ac:dyDescent="0.3">
      <c r="A672">
        <v>671</v>
      </c>
      <c r="B672" t="s">
        <v>6</v>
      </c>
      <c r="C672" t="s">
        <v>7</v>
      </c>
      <c r="D672" t="s">
        <v>8</v>
      </c>
      <c r="E672" t="s">
        <v>19</v>
      </c>
      <c r="F672" t="s">
        <v>23</v>
      </c>
    </row>
    <row r="673" spans="1:6" x14ac:dyDescent="0.3">
      <c r="A673">
        <v>672</v>
      </c>
      <c r="B673" t="s">
        <v>16</v>
      </c>
      <c r="C673" t="s">
        <v>24</v>
      </c>
      <c r="D673" t="s">
        <v>1</v>
      </c>
      <c r="E673" t="s">
        <v>15</v>
      </c>
      <c r="F673" t="s">
        <v>23</v>
      </c>
    </row>
    <row r="674" spans="1:6" x14ac:dyDescent="0.3">
      <c r="A674">
        <v>673</v>
      </c>
      <c r="B674" t="s">
        <v>14</v>
      </c>
      <c r="C674" t="s">
        <v>12</v>
      </c>
      <c r="D674" t="s">
        <v>8</v>
      </c>
      <c r="E674" t="s">
        <v>9</v>
      </c>
      <c r="F674" t="s">
        <v>20</v>
      </c>
    </row>
    <row r="675" spans="1:6" x14ac:dyDescent="0.3">
      <c r="A675">
        <v>674</v>
      </c>
      <c r="B675" t="s">
        <v>25</v>
      </c>
      <c r="C675" t="s">
        <v>12</v>
      </c>
      <c r="D675" t="s">
        <v>8</v>
      </c>
      <c r="E675" t="s">
        <v>9</v>
      </c>
      <c r="F675" t="s">
        <v>13</v>
      </c>
    </row>
    <row r="676" spans="1:6" x14ac:dyDescent="0.3">
      <c r="A676">
        <v>675</v>
      </c>
      <c r="B676" t="s">
        <v>18</v>
      </c>
      <c r="C676" t="s">
        <v>12</v>
      </c>
      <c r="D676" t="s">
        <v>22</v>
      </c>
      <c r="E676" t="s">
        <v>21</v>
      </c>
      <c r="F676" t="s">
        <v>23</v>
      </c>
    </row>
    <row r="677" spans="1:6" x14ac:dyDescent="0.3">
      <c r="A677">
        <v>676</v>
      </c>
      <c r="B677" t="s">
        <v>25</v>
      </c>
      <c r="C677" t="s">
        <v>7</v>
      </c>
      <c r="D677" t="s">
        <v>22</v>
      </c>
      <c r="E677" t="s">
        <v>15</v>
      </c>
      <c r="F677" t="s">
        <v>20</v>
      </c>
    </row>
    <row r="678" spans="1:6" x14ac:dyDescent="0.3">
      <c r="A678">
        <v>677</v>
      </c>
      <c r="B678" t="s">
        <v>18</v>
      </c>
      <c r="C678" t="s">
        <v>12</v>
      </c>
      <c r="D678" t="s">
        <v>8</v>
      </c>
      <c r="E678" t="s">
        <v>19</v>
      </c>
      <c r="F678" t="s">
        <v>20</v>
      </c>
    </row>
    <row r="679" spans="1:6" x14ac:dyDescent="0.3">
      <c r="A679">
        <v>678</v>
      </c>
      <c r="B679" t="s">
        <v>11</v>
      </c>
      <c r="C679" t="s">
        <v>7</v>
      </c>
      <c r="D679" t="s">
        <v>1</v>
      </c>
      <c r="E679" t="s">
        <v>9</v>
      </c>
      <c r="F679" t="s">
        <v>10</v>
      </c>
    </row>
    <row r="680" spans="1:6" x14ac:dyDescent="0.3">
      <c r="A680">
        <v>679</v>
      </c>
      <c r="B680" t="s">
        <v>6</v>
      </c>
      <c r="C680" t="s">
        <v>12</v>
      </c>
      <c r="D680" t="s">
        <v>22</v>
      </c>
      <c r="E680" t="s">
        <v>9</v>
      </c>
      <c r="F680" t="s">
        <v>13</v>
      </c>
    </row>
    <row r="681" spans="1:6" x14ac:dyDescent="0.3">
      <c r="A681">
        <v>680</v>
      </c>
      <c r="B681" t="s">
        <v>14</v>
      </c>
      <c r="C681" t="s">
        <v>7</v>
      </c>
      <c r="D681" t="s">
        <v>22</v>
      </c>
      <c r="E681" t="s">
        <v>15</v>
      </c>
      <c r="F681" t="s">
        <v>20</v>
      </c>
    </row>
    <row r="682" spans="1:6" x14ac:dyDescent="0.3">
      <c r="A682">
        <v>681</v>
      </c>
      <c r="B682" t="s">
        <v>18</v>
      </c>
      <c r="C682" t="s">
        <v>7</v>
      </c>
      <c r="D682" t="s">
        <v>1</v>
      </c>
      <c r="E682" t="s">
        <v>9</v>
      </c>
      <c r="F682" t="s">
        <v>23</v>
      </c>
    </row>
    <row r="683" spans="1:6" x14ac:dyDescent="0.3">
      <c r="A683">
        <v>682</v>
      </c>
      <c r="B683" t="s">
        <v>16</v>
      </c>
      <c r="C683" t="s">
        <v>12</v>
      </c>
      <c r="D683" t="s">
        <v>8</v>
      </c>
      <c r="E683" t="s">
        <v>19</v>
      </c>
      <c r="F683" t="s">
        <v>10</v>
      </c>
    </row>
    <row r="684" spans="1:6" x14ac:dyDescent="0.3">
      <c r="A684">
        <v>683</v>
      </c>
      <c r="B684" t="s">
        <v>14</v>
      </c>
      <c r="C684" t="s">
        <v>7</v>
      </c>
      <c r="D684" t="s">
        <v>22</v>
      </c>
      <c r="E684" t="s">
        <v>21</v>
      </c>
      <c r="F684" t="s">
        <v>13</v>
      </c>
    </row>
    <row r="685" spans="1:6" x14ac:dyDescent="0.3">
      <c r="A685">
        <v>684</v>
      </c>
      <c r="B685" t="s">
        <v>6</v>
      </c>
      <c r="C685" t="s">
        <v>12</v>
      </c>
      <c r="D685" t="s">
        <v>22</v>
      </c>
      <c r="E685" t="s">
        <v>21</v>
      </c>
      <c r="F685" t="s">
        <v>20</v>
      </c>
    </row>
    <row r="686" spans="1:6" x14ac:dyDescent="0.3">
      <c r="A686">
        <v>685</v>
      </c>
      <c r="B686" t="s">
        <v>14</v>
      </c>
      <c r="C686" t="s">
        <v>12</v>
      </c>
      <c r="D686" t="s">
        <v>1</v>
      </c>
      <c r="E686" t="s">
        <v>21</v>
      </c>
      <c r="F686" t="s">
        <v>13</v>
      </c>
    </row>
    <row r="687" spans="1:6" x14ac:dyDescent="0.3">
      <c r="A687">
        <v>686</v>
      </c>
      <c r="B687" t="s">
        <v>11</v>
      </c>
      <c r="C687" t="s">
        <v>7</v>
      </c>
      <c r="D687" t="s">
        <v>22</v>
      </c>
      <c r="E687" t="s">
        <v>15</v>
      </c>
      <c r="F687" t="s">
        <v>20</v>
      </c>
    </row>
    <row r="688" spans="1:6" x14ac:dyDescent="0.3">
      <c r="A688">
        <v>687</v>
      </c>
      <c r="B688" t="s">
        <v>11</v>
      </c>
      <c r="C688" t="s">
        <v>12</v>
      </c>
      <c r="D688" t="s">
        <v>22</v>
      </c>
      <c r="E688" t="s">
        <v>21</v>
      </c>
      <c r="F688" t="s">
        <v>20</v>
      </c>
    </row>
    <row r="689" spans="1:6" x14ac:dyDescent="0.3">
      <c r="A689">
        <v>688</v>
      </c>
      <c r="B689" t="s">
        <v>25</v>
      </c>
      <c r="C689" t="s">
        <v>12</v>
      </c>
      <c r="D689" t="s">
        <v>22</v>
      </c>
      <c r="E689" t="s">
        <v>21</v>
      </c>
      <c r="F689" t="s">
        <v>13</v>
      </c>
    </row>
    <row r="690" spans="1:6" x14ac:dyDescent="0.3">
      <c r="A690">
        <v>689</v>
      </c>
      <c r="B690" t="s">
        <v>6</v>
      </c>
      <c r="C690" t="s">
        <v>24</v>
      </c>
      <c r="D690" t="s">
        <v>8</v>
      </c>
      <c r="E690" t="s">
        <v>15</v>
      </c>
      <c r="F690" t="s">
        <v>13</v>
      </c>
    </row>
    <row r="691" spans="1:6" x14ac:dyDescent="0.3">
      <c r="A691">
        <v>690</v>
      </c>
      <c r="B691" t="s">
        <v>6</v>
      </c>
      <c r="C691" t="s">
        <v>7</v>
      </c>
      <c r="D691" t="s">
        <v>8</v>
      </c>
      <c r="E691" t="s">
        <v>15</v>
      </c>
      <c r="F691" t="s">
        <v>13</v>
      </c>
    </row>
    <row r="692" spans="1:6" x14ac:dyDescent="0.3">
      <c r="A692">
        <v>691</v>
      </c>
      <c r="B692" t="s">
        <v>11</v>
      </c>
      <c r="C692" t="s">
        <v>12</v>
      </c>
      <c r="D692" t="s">
        <v>8</v>
      </c>
      <c r="E692" t="s">
        <v>19</v>
      </c>
      <c r="F692" t="s">
        <v>20</v>
      </c>
    </row>
    <row r="693" spans="1:6" x14ac:dyDescent="0.3">
      <c r="A693">
        <v>692</v>
      </c>
      <c r="B693" t="s">
        <v>25</v>
      </c>
      <c r="C693" t="s">
        <v>12</v>
      </c>
      <c r="D693" t="s">
        <v>8</v>
      </c>
      <c r="E693" t="s">
        <v>19</v>
      </c>
      <c r="F693" t="s">
        <v>20</v>
      </c>
    </row>
    <row r="694" spans="1:6" x14ac:dyDescent="0.3">
      <c r="A694">
        <v>693</v>
      </c>
      <c r="B694" t="s">
        <v>6</v>
      </c>
      <c r="C694" t="s">
        <v>12</v>
      </c>
      <c r="D694" t="s">
        <v>1</v>
      </c>
      <c r="E694" t="s">
        <v>21</v>
      </c>
      <c r="F694" t="s">
        <v>13</v>
      </c>
    </row>
    <row r="695" spans="1:6" x14ac:dyDescent="0.3">
      <c r="A695">
        <v>694</v>
      </c>
      <c r="B695" t="s">
        <v>14</v>
      </c>
      <c r="C695" t="s">
        <v>12</v>
      </c>
      <c r="D695" t="s">
        <v>1</v>
      </c>
      <c r="E695" t="s">
        <v>19</v>
      </c>
      <c r="F695" t="s">
        <v>10</v>
      </c>
    </row>
    <row r="696" spans="1:6" x14ac:dyDescent="0.3">
      <c r="A696">
        <v>695</v>
      </c>
      <c r="B696" t="s">
        <v>16</v>
      </c>
      <c r="C696" t="s">
        <v>12</v>
      </c>
      <c r="D696" t="s">
        <v>8</v>
      </c>
      <c r="E696" t="s">
        <v>19</v>
      </c>
      <c r="F696" t="s">
        <v>23</v>
      </c>
    </row>
    <row r="697" spans="1:6" x14ac:dyDescent="0.3">
      <c r="A697">
        <v>696</v>
      </c>
      <c r="B697" t="s">
        <v>18</v>
      </c>
      <c r="C697" t="s">
        <v>7</v>
      </c>
      <c r="D697" t="s">
        <v>22</v>
      </c>
      <c r="E697" t="s">
        <v>9</v>
      </c>
      <c r="F697" t="s">
        <v>13</v>
      </c>
    </row>
    <row r="698" spans="1:6" x14ac:dyDescent="0.3">
      <c r="A698">
        <v>697</v>
      </c>
      <c r="B698" t="s">
        <v>6</v>
      </c>
      <c r="C698" t="s">
        <v>24</v>
      </c>
      <c r="D698" t="s">
        <v>22</v>
      </c>
      <c r="E698" t="s">
        <v>26</v>
      </c>
      <c r="F698" t="s">
        <v>23</v>
      </c>
    </row>
    <row r="699" spans="1:6" x14ac:dyDescent="0.3">
      <c r="A699">
        <v>698</v>
      </c>
      <c r="B699" t="s">
        <v>6</v>
      </c>
      <c r="C699" t="s">
        <v>12</v>
      </c>
      <c r="D699" t="s">
        <v>22</v>
      </c>
      <c r="E699" t="s">
        <v>21</v>
      </c>
      <c r="F699" t="s">
        <v>23</v>
      </c>
    </row>
    <row r="700" spans="1:6" x14ac:dyDescent="0.3">
      <c r="A700">
        <v>699</v>
      </c>
      <c r="B700" t="s">
        <v>25</v>
      </c>
      <c r="C700" t="s">
        <v>7</v>
      </c>
      <c r="D700" t="s">
        <v>8</v>
      </c>
      <c r="E700" t="s">
        <v>9</v>
      </c>
      <c r="F700" t="s">
        <v>10</v>
      </c>
    </row>
    <row r="701" spans="1:6" x14ac:dyDescent="0.3">
      <c r="A701">
        <v>700</v>
      </c>
      <c r="B701" t="s">
        <v>25</v>
      </c>
      <c r="C701" t="s">
        <v>12</v>
      </c>
      <c r="D701" t="s">
        <v>8</v>
      </c>
      <c r="E701" t="s">
        <v>9</v>
      </c>
      <c r="F701" t="s">
        <v>10</v>
      </c>
    </row>
    <row r="702" spans="1:6" x14ac:dyDescent="0.3">
      <c r="A702">
        <v>701</v>
      </c>
      <c r="B702" t="s">
        <v>11</v>
      </c>
      <c r="C702" t="s">
        <v>12</v>
      </c>
      <c r="D702" t="s">
        <v>22</v>
      </c>
      <c r="E702" t="s">
        <v>15</v>
      </c>
      <c r="F702" t="s">
        <v>23</v>
      </c>
    </row>
    <row r="703" spans="1:6" x14ac:dyDescent="0.3">
      <c r="A703">
        <v>702</v>
      </c>
      <c r="B703" t="s">
        <v>18</v>
      </c>
      <c r="C703" t="s">
        <v>12</v>
      </c>
      <c r="D703" t="s">
        <v>22</v>
      </c>
      <c r="E703" t="s">
        <v>21</v>
      </c>
      <c r="F703" t="s">
        <v>20</v>
      </c>
    </row>
    <row r="704" spans="1:6" x14ac:dyDescent="0.3">
      <c r="A704">
        <v>703</v>
      </c>
      <c r="B704" t="s">
        <v>11</v>
      </c>
      <c r="C704" t="s">
        <v>12</v>
      </c>
      <c r="D704" t="s">
        <v>22</v>
      </c>
      <c r="E704" t="s">
        <v>15</v>
      </c>
      <c r="F704" t="s">
        <v>13</v>
      </c>
    </row>
    <row r="705" spans="1:6" x14ac:dyDescent="0.3">
      <c r="A705">
        <v>704</v>
      </c>
      <c r="B705" t="s">
        <v>16</v>
      </c>
      <c r="C705" t="s">
        <v>12</v>
      </c>
      <c r="D705" t="s">
        <v>22</v>
      </c>
      <c r="E705" t="s">
        <v>21</v>
      </c>
      <c r="F705" t="s">
        <v>13</v>
      </c>
    </row>
    <row r="706" spans="1:6" x14ac:dyDescent="0.3">
      <c r="A706">
        <v>705</v>
      </c>
      <c r="B706" t="s">
        <v>6</v>
      </c>
      <c r="C706" t="s">
        <v>7</v>
      </c>
      <c r="D706" t="s">
        <v>8</v>
      </c>
      <c r="E706" t="s">
        <v>19</v>
      </c>
      <c r="F706" t="s">
        <v>10</v>
      </c>
    </row>
    <row r="707" spans="1:6" x14ac:dyDescent="0.3">
      <c r="A707">
        <v>706</v>
      </c>
      <c r="B707" t="s">
        <v>18</v>
      </c>
      <c r="C707" t="s">
        <v>7</v>
      </c>
      <c r="D707" t="s">
        <v>8</v>
      </c>
      <c r="E707" t="s">
        <v>19</v>
      </c>
      <c r="F707" t="s">
        <v>23</v>
      </c>
    </row>
    <row r="708" spans="1:6" x14ac:dyDescent="0.3">
      <c r="A708">
        <v>707</v>
      </c>
      <c r="B708" t="s">
        <v>11</v>
      </c>
      <c r="C708" t="s">
        <v>12</v>
      </c>
      <c r="D708" t="s">
        <v>22</v>
      </c>
      <c r="E708" t="s">
        <v>21</v>
      </c>
      <c r="F708" t="s">
        <v>13</v>
      </c>
    </row>
    <row r="709" spans="1:6" x14ac:dyDescent="0.3">
      <c r="A709">
        <v>708</v>
      </c>
      <c r="B709" t="s">
        <v>16</v>
      </c>
      <c r="C709" t="s">
        <v>7</v>
      </c>
      <c r="D709" t="s">
        <v>8</v>
      </c>
      <c r="E709" t="s">
        <v>9</v>
      </c>
      <c r="F709" t="s">
        <v>13</v>
      </c>
    </row>
    <row r="710" spans="1:6" x14ac:dyDescent="0.3">
      <c r="A710">
        <v>709</v>
      </c>
      <c r="B710" t="s">
        <v>11</v>
      </c>
      <c r="C710" t="s">
        <v>12</v>
      </c>
      <c r="D710" t="s">
        <v>1</v>
      </c>
      <c r="E710" t="s">
        <v>9</v>
      </c>
      <c r="F710" t="s">
        <v>23</v>
      </c>
    </row>
    <row r="711" spans="1:6" x14ac:dyDescent="0.3">
      <c r="A711">
        <v>710</v>
      </c>
      <c r="B711" t="s">
        <v>25</v>
      </c>
      <c r="C711" t="s">
        <v>12</v>
      </c>
      <c r="D711" t="s">
        <v>1</v>
      </c>
      <c r="E711" t="s">
        <v>21</v>
      </c>
      <c r="F711" t="s">
        <v>20</v>
      </c>
    </row>
    <row r="712" spans="1:6" x14ac:dyDescent="0.3">
      <c r="A712">
        <v>711</v>
      </c>
      <c r="B712" t="s">
        <v>14</v>
      </c>
      <c r="C712" t="s">
        <v>7</v>
      </c>
      <c r="D712" t="s">
        <v>8</v>
      </c>
      <c r="E712" t="s">
        <v>19</v>
      </c>
      <c r="F712" t="s">
        <v>20</v>
      </c>
    </row>
    <row r="713" spans="1:6" x14ac:dyDescent="0.3">
      <c r="A713">
        <v>712</v>
      </c>
      <c r="B713" t="s">
        <v>25</v>
      </c>
      <c r="C713" t="s">
        <v>12</v>
      </c>
      <c r="D713" t="s">
        <v>1</v>
      </c>
      <c r="E713" t="s">
        <v>19</v>
      </c>
      <c r="F713" t="s">
        <v>10</v>
      </c>
    </row>
    <row r="714" spans="1:6" x14ac:dyDescent="0.3">
      <c r="A714">
        <v>713</v>
      </c>
      <c r="B714" t="s">
        <v>25</v>
      </c>
      <c r="C714" t="s">
        <v>7</v>
      </c>
      <c r="D714" t="s">
        <v>1</v>
      </c>
      <c r="E714" t="s">
        <v>21</v>
      </c>
      <c r="F714" t="s">
        <v>23</v>
      </c>
    </row>
    <row r="715" spans="1:6" x14ac:dyDescent="0.3">
      <c r="A715">
        <v>714</v>
      </c>
      <c r="B715" t="s">
        <v>18</v>
      </c>
      <c r="C715" t="s">
        <v>7</v>
      </c>
      <c r="D715" t="s">
        <v>8</v>
      </c>
      <c r="E715" t="s">
        <v>19</v>
      </c>
      <c r="F715" t="s">
        <v>20</v>
      </c>
    </row>
    <row r="716" spans="1:6" x14ac:dyDescent="0.3">
      <c r="A716">
        <v>715</v>
      </c>
      <c r="B716" t="s">
        <v>18</v>
      </c>
      <c r="C716" t="s">
        <v>7</v>
      </c>
      <c r="D716" t="s">
        <v>8</v>
      </c>
      <c r="E716" t="s">
        <v>19</v>
      </c>
      <c r="F716" t="s">
        <v>10</v>
      </c>
    </row>
    <row r="717" spans="1:6" x14ac:dyDescent="0.3">
      <c r="A717">
        <v>716</v>
      </c>
      <c r="B717" t="s">
        <v>14</v>
      </c>
      <c r="C717" t="s">
        <v>24</v>
      </c>
      <c r="D717" t="s">
        <v>1</v>
      </c>
      <c r="E717" t="s">
        <v>26</v>
      </c>
      <c r="F717" t="s">
        <v>13</v>
      </c>
    </row>
    <row r="718" spans="1:6" x14ac:dyDescent="0.3">
      <c r="A718">
        <v>717</v>
      </c>
      <c r="B718" t="s">
        <v>16</v>
      </c>
      <c r="C718" t="s">
        <v>24</v>
      </c>
      <c r="D718" t="s">
        <v>22</v>
      </c>
      <c r="E718" t="s">
        <v>15</v>
      </c>
      <c r="F718" t="s">
        <v>13</v>
      </c>
    </row>
    <row r="719" spans="1:6" x14ac:dyDescent="0.3">
      <c r="A719">
        <v>718</v>
      </c>
      <c r="B719" t="s">
        <v>6</v>
      </c>
      <c r="C719" t="s">
        <v>24</v>
      </c>
      <c r="D719" t="s">
        <v>1</v>
      </c>
      <c r="E719" t="s">
        <v>15</v>
      </c>
      <c r="F719" t="s">
        <v>13</v>
      </c>
    </row>
    <row r="720" spans="1:6" x14ac:dyDescent="0.3">
      <c r="A720">
        <v>719</v>
      </c>
      <c r="B720" t="s">
        <v>14</v>
      </c>
      <c r="C720" t="s">
        <v>7</v>
      </c>
      <c r="D720" t="s">
        <v>1</v>
      </c>
      <c r="E720" t="s">
        <v>17</v>
      </c>
      <c r="F720" t="s">
        <v>10</v>
      </c>
    </row>
    <row r="721" spans="1:6" x14ac:dyDescent="0.3">
      <c r="A721">
        <v>720</v>
      </c>
      <c r="B721" t="s">
        <v>18</v>
      </c>
      <c r="C721" t="s">
        <v>7</v>
      </c>
      <c r="D721" t="s">
        <v>8</v>
      </c>
      <c r="E721" t="s">
        <v>19</v>
      </c>
      <c r="F721" t="s">
        <v>23</v>
      </c>
    </row>
    <row r="722" spans="1:6" x14ac:dyDescent="0.3">
      <c r="A722">
        <v>721</v>
      </c>
      <c r="B722" t="s">
        <v>11</v>
      </c>
      <c r="C722" t="s">
        <v>12</v>
      </c>
      <c r="D722" t="s">
        <v>8</v>
      </c>
      <c r="E722" t="s">
        <v>9</v>
      </c>
      <c r="F722" t="s">
        <v>20</v>
      </c>
    </row>
    <row r="723" spans="1:6" x14ac:dyDescent="0.3">
      <c r="A723">
        <v>722</v>
      </c>
      <c r="B723" t="s">
        <v>14</v>
      </c>
      <c r="C723" t="s">
        <v>7</v>
      </c>
      <c r="D723" t="s">
        <v>8</v>
      </c>
      <c r="E723" t="s">
        <v>19</v>
      </c>
      <c r="F723" t="s">
        <v>23</v>
      </c>
    </row>
    <row r="724" spans="1:6" x14ac:dyDescent="0.3">
      <c r="A724">
        <v>723</v>
      </c>
      <c r="B724" t="s">
        <v>18</v>
      </c>
      <c r="C724" t="s">
        <v>12</v>
      </c>
      <c r="D724" t="s">
        <v>22</v>
      </c>
      <c r="E724" t="s">
        <v>21</v>
      </c>
      <c r="F724" t="s">
        <v>20</v>
      </c>
    </row>
    <row r="725" spans="1:6" x14ac:dyDescent="0.3">
      <c r="A725">
        <v>724</v>
      </c>
      <c r="B725" t="s">
        <v>18</v>
      </c>
      <c r="C725" t="s">
        <v>7</v>
      </c>
      <c r="D725" t="s">
        <v>8</v>
      </c>
      <c r="E725" t="s">
        <v>19</v>
      </c>
      <c r="F725" t="s">
        <v>13</v>
      </c>
    </row>
    <row r="726" spans="1:6" x14ac:dyDescent="0.3">
      <c r="A726">
        <v>725</v>
      </c>
      <c r="B726" t="s">
        <v>18</v>
      </c>
      <c r="C726" t="s">
        <v>7</v>
      </c>
      <c r="D726" t="s">
        <v>22</v>
      </c>
      <c r="E726" t="s">
        <v>21</v>
      </c>
      <c r="F726" t="s">
        <v>23</v>
      </c>
    </row>
    <row r="727" spans="1:6" x14ac:dyDescent="0.3">
      <c r="A727">
        <v>726</v>
      </c>
      <c r="B727" t="s">
        <v>16</v>
      </c>
      <c r="C727" t="s">
        <v>24</v>
      </c>
      <c r="D727" t="s">
        <v>22</v>
      </c>
      <c r="E727" t="s">
        <v>26</v>
      </c>
      <c r="F727" t="s">
        <v>23</v>
      </c>
    </row>
    <row r="728" spans="1:6" x14ac:dyDescent="0.3">
      <c r="A728">
        <v>727</v>
      </c>
      <c r="B728" t="s">
        <v>14</v>
      </c>
      <c r="C728" t="s">
        <v>12</v>
      </c>
      <c r="D728" t="s">
        <v>8</v>
      </c>
      <c r="E728" t="s">
        <v>19</v>
      </c>
      <c r="F728" t="s">
        <v>20</v>
      </c>
    </row>
    <row r="729" spans="1:6" x14ac:dyDescent="0.3">
      <c r="A729">
        <v>728</v>
      </c>
      <c r="B729" t="s">
        <v>16</v>
      </c>
      <c r="C729" t="s">
        <v>12</v>
      </c>
      <c r="D729" t="s">
        <v>8</v>
      </c>
      <c r="E729" t="s">
        <v>19</v>
      </c>
      <c r="F729" t="s">
        <v>20</v>
      </c>
    </row>
    <row r="730" spans="1:6" x14ac:dyDescent="0.3">
      <c r="A730">
        <v>729</v>
      </c>
      <c r="B730" t="s">
        <v>14</v>
      </c>
      <c r="C730" t="s">
        <v>12</v>
      </c>
      <c r="D730" t="s">
        <v>8</v>
      </c>
      <c r="E730" t="s">
        <v>9</v>
      </c>
      <c r="F730" t="s">
        <v>13</v>
      </c>
    </row>
    <row r="731" spans="1:6" x14ac:dyDescent="0.3">
      <c r="A731">
        <v>730</v>
      </c>
      <c r="B731" t="s">
        <v>6</v>
      </c>
      <c r="C731" t="s">
        <v>7</v>
      </c>
      <c r="D731" t="s">
        <v>1</v>
      </c>
      <c r="E731" t="s">
        <v>9</v>
      </c>
      <c r="F731" t="s">
        <v>10</v>
      </c>
    </row>
    <row r="732" spans="1:6" x14ac:dyDescent="0.3">
      <c r="A732">
        <v>731</v>
      </c>
      <c r="B732" t="s">
        <v>16</v>
      </c>
      <c r="C732" t="s">
        <v>12</v>
      </c>
      <c r="D732" t="s">
        <v>1</v>
      </c>
      <c r="E732" t="s">
        <v>17</v>
      </c>
      <c r="F732" t="s">
        <v>10</v>
      </c>
    </row>
    <row r="733" spans="1:6" x14ac:dyDescent="0.3">
      <c r="A733">
        <v>732</v>
      </c>
      <c r="B733" t="s">
        <v>14</v>
      </c>
      <c r="C733" t="s">
        <v>12</v>
      </c>
      <c r="D733" t="s">
        <v>1</v>
      </c>
      <c r="E733" t="s">
        <v>9</v>
      </c>
      <c r="F733" t="s">
        <v>20</v>
      </c>
    </row>
    <row r="734" spans="1:6" x14ac:dyDescent="0.3">
      <c r="A734">
        <v>733</v>
      </c>
      <c r="B734" t="s">
        <v>14</v>
      </c>
      <c r="C734" t="s">
        <v>12</v>
      </c>
      <c r="D734" t="s">
        <v>1</v>
      </c>
      <c r="E734" t="s">
        <v>9</v>
      </c>
      <c r="F734" t="s">
        <v>10</v>
      </c>
    </row>
    <row r="735" spans="1:6" x14ac:dyDescent="0.3">
      <c r="A735">
        <v>734</v>
      </c>
      <c r="B735" t="s">
        <v>25</v>
      </c>
      <c r="C735" t="s">
        <v>12</v>
      </c>
      <c r="D735" t="s">
        <v>8</v>
      </c>
      <c r="E735" t="s">
        <v>9</v>
      </c>
      <c r="F735" t="s">
        <v>20</v>
      </c>
    </row>
    <row r="736" spans="1:6" x14ac:dyDescent="0.3">
      <c r="A736">
        <v>735</v>
      </c>
      <c r="B736" t="s">
        <v>16</v>
      </c>
      <c r="C736" t="s">
        <v>12</v>
      </c>
      <c r="D736" t="s">
        <v>1</v>
      </c>
      <c r="E736" t="s">
        <v>21</v>
      </c>
      <c r="F736" t="s">
        <v>20</v>
      </c>
    </row>
    <row r="737" spans="1:6" x14ac:dyDescent="0.3">
      <c r="A737">
        <v>736</v>
      </c>
      <c r="B737" t="s">
        <v>6</v>
      </c>
      <c r="C737" t="s">
        <v>7</v>
      </c>
      <c r="D737" t="s">
        <v>22</v>
      </c>
      <c r="E737" t="s">
        <v>15</v>
      </c>
      <c r="F737" t="s">
        <v>13</v>
      </c>
    </row>
    <row r="738" spans="1:6" x14ac:dyDescent="0.3">
      <c r="A738">
        <v>737</v>
      </c>
      <c r="B738" t="s">
        <v>25</v>
      </c>
      <c r="C738" t="s">
        <v>7</v>
      </c>
      <c r="D738" t="s">
        <v>8</v>
      </c>
      <c r="E738" t="s">
        <v>19</v>
      </c>
      <c r="F738" t="s">
        <v>20</v>
      </c>
    </row>
    <row r="739" spans="1:6" x14ac:dyDescent="0.3">
      <c r="A739">
        <v>738</v>
      </c>
      <c r="B739" t="s">
        <v>11</v>
      </c>
      <c r="C739" t="s">
        <v>7</v>
      </c>
      <c r="D739" t="s">
        <v>8</v>
      </c>
      <c r="E739" t="s">
        <v>19</v>
      </c>
      <c r="F739" t="s">
        <v>23</v>
      </c>
    </row>
    <row r="740" spans="1:6" x14ac:dyDescent="0.3">
      <c r="A740">
        <v>739</v>
      </c>
      <c r="B740" t="s">
        <v>14</v>
      </c>
      <c r="C740" t="s">
        <v>7</v>
      </c>
      <c r="D740" t="s">
        <v>8</v>
      </c>
      <c r="E740" t="s">
        <v>19</v>
      </c>
      <c r="F740" t="s">
        <v>20</v>
      </c>
    </row>
    <row r="741" spans="1:6" x14ac:dyDescent="0.3">
      <c r="A741">
        <v>740</v>
      </c>
      <c r="B741" t="s">
        <v>16</v>
      </c>
      <c r="C741" t="s">
        <v>12</v>
      </c>
      <c r="D741" t="s">
        <v>22</v>
      </c>
      <c r="E741" t="s">
        <v>9</v>
      </c>
      <c r="F741" t="s">
        <v>23</v>
      </c>
    </row>
    <row r="742" spans="1:6" x14ac:dyDescent="0.3">
      <c r="A742">
        <v>741</v>
      </c>
      <c r="B742" t="s">
        <v>11</v>
      </c>
      <c r="C742" t="s">
        <v>12</v>
      </c>
      <c r="D742" t="s">
        <v>8</v>
      </c>
      <c r="E742" t="s">
        <v>19</v>
      </c>
      <c r="F742" t="s">
        <v>13</v>
      </c>
    </row>
    <row r="743" spans="1:6" x14ac:dyDescent="0.3">
      <c r="A743">
        <v>742</v>
      </c>
      <c r="B743" t="s">
        <v>25</v>
      </c>
      <c r="C743" t="s">
        <v>12</v>
      </c>
      <c r="D743" t="s">
        <v>8</v>
      </c>
      <c r="E743" t="s">
        <v>19</v>
      </c>
      <c r="F743" t="s">
        <v>20</v>
      </c>
    </row>
    <row r="744" spans="1:6" x14ac:dyDescent="0.3">
      <c r="A744">
        <v>743</v>
      </c>
      <c r="B744" t="s">
        <v>11</v>
      </c>
      <c r="C744" t="s">
        <v>7</v>
      </c>
      <c r="D744" t="s">
        <v>1</v>
      </c>
      <c r="E744" t="s">
        <v>15</v>
      </c>
      <c r="F744" t="s">
        <v>23</v>
      </c>
    </row>
    <row r="745" spans="1:6" x14ac:dyDescent="0.3">
      <c r="A745">
        <v>744</v>
      </c>
      <c r="B745" t="s">
        <v>18</v>
      </c>
      <c r="C745" t="s">
        <v>12</v>
      </c>
      <c r="D745" t="s">
        <v>8</v>
      </c>
      <c r="E745" t="s">
        <v>9</v>
      </c>
      <c r="F745" t="s">
        <v>10</v>
      </c>
    </row>
    <row r="746" spans="1:6" x14ac:dyDescent="0.3">
      <c r="A746">
        <v>745</v>
      </c>
      <c r="B746" t="s">
        <v>6</v>
      </c>
      <c r="C746" t="s">
        <v>12</v>
      </c>
      <c r="D746" t="s">
        <v>8</v>
      </c>
      <c r="E746" t="s">
        <v>19</v>
      </c>
      <c r="F746" t="s">
        <v>20</v>
      </c>
    </row>
    <row r="747" spans="1:6" x14ac:dyDescent="0.3">
      <c r="A747">
        <v>746</v>
      </c>
      <c r="B747" t="s">
        <v>16</v>
      </c>
      <c r="C747" t="s">
        <v>24</v>
      </c>
      <c r="D747" t="s">
        <v>22</v>
      </c>
      <c r="E747" t="s">
        <v>26</v>
      </c>
      <c r="F747" t="s">
        <v>23</v>
      </c>
    </row>
    <row r="748" spans="1:6" x14ac:dyDescent="0.3">
      <c r="A748">
        <v>747</v>
      </c>
      <c r="B748" t="s">
        <v>14</v>
      </c>
      <c r="C748" t="s">
        <v>12</v>
      </c>
      <c r="D748" t="s">
        <v>8</v>
      </c>
      <c r="E748" t="s">
        <v>19</v>
      </c>
      <c r="F748" t="s">
        <v>13</v>
      </c>
    </row>
    <row r="749" spans="1:6" x14ac:dyDescent="0.3">
      <c r="A749">
        <v>748</v>
      </c>
      <c r="B749" t="s">
        <v>18</v>
      </c>
      <c r="C749" t="s">
        <v>12</v>
      </c>
      <c r="D749" t="s">
        <v>1</v>
      </c>
      <c r="E749" t="s">
        <v>21</v>
      </c>
      <c r="F749" t="s">
        <v>20</v>
      </c>
    </row>
    <row r="750" spans="1:6" x14ac:dyDescent="0.3">
      <c r="A750">
        <v>749</v>
      </c>
      <c r="B750" t="s">
        <v>16</v>
      </c>
      <c r="C750" t="s">
        <v>12</v>
      </c>
      <c r="D750" t="s">
        <v>22</v>
      </c>
      <c r="E750" t="s">
        <v>9</v>
      </c>
      <c r="F750" t="s">
        <v>10</v>
      </c>
    </row>
    <row r="751" spans="1:6" x14ac:dyDescent="0.3">
      <c r="A751">
        <v>750</v>
      </c>
      <c r="B751" t="s">
        <v>11</v>
      </c>
      <c r="C751" t="s">
        <v>12</v>
      </c>
      <c r="D751" t="s">
        <v>8</v>
      </c>
      <c r="E751" t="s">
        <v>21</v>
      </c>
      <c r="F751" t="s">
        <v>23</v>
      </c>
    </row>
    <row r="752" spans="1:6" x14ac:dyDescent="0.3">
      <c r="A752">
        <v>751</v>
      </c>
      <c r="B752" t="s">
        <v>11</v>
      </c>
      <c r="C752" t="s">
        <v>12</v>
      </c>
      <c r="D752" t="s">
        <v>8</v>
      </c>
      <c r="E752" t="s">
        <v>19</v>
      </c>
      <c r="F752" t="s">
        <v>20</v>
      </c>
    </row>
    <row r="753" spans="1:6" x14ac:dyDescent="0.3">
      <c r="A753">
        <v>752</v>
      </c>
      <c r="B753" t="s">
        <v>11</v>
      </c>
      <c r="C753" t="s">
        <v>24</v>
      </c>
      <c r="D753" t="s">
        <v>22</v>
      </c>
      <c r="E753" t="s">
        <v>17</v>
      </c>
      <c r="F753" t="s">
        <v>10</v>
      </c>
    </row>
    <row r="754" spans="1:6" x14ac:dyDescent="0.3">
      <c r="A754">
        <v>753</v>
      </c>
      <c r="B754" t="s">
        <v>14</v>
      </c>
      <c r="C754" t="s">
        <v>12</v>
      </c>
      <c r="D754" t="s">
        <v>8</v>
      </c>
      <c r="E754" t="s">
        <v>19</v>
      </c>
      <c r="F754" t="s">
        <v>10</v>
      </c>
    </row>
    <row r="755" spans="1:6" x14ac:dyDescent="0.3">
      <c r="A755">
        <v>754</v>
      </c>
      <c r="B755" t="s">
        <v>16</v>
      </c>
      <c r="C755" t="s">
        <v>7</v>
      </c>
      <c r="D755" t="s">
        <v>8</v>
      </c>
      <c r="E755" t="s">
        <v>9</v>
      </c>
      <c r="F755" t="s">
        <v>10</v>
      </c>
    </row>
    <row r="756" spans="1:6" x14ac:dyDescent="0.3">
      <c r="A756">
        <v>755</v>
      </c>
      <c r="B756" t="s">
        <v>6</v>
      </c>
      <c r="C756" t="s">
        <v>12</v>
      </c>
      <c r="D756" t="s">
        <v>1</v>
      </c>
      <c r="E756" t="s">
        <v>21</v>
      </c>
      <c r="F756" t="s">
        <v>23</v>
      </c>
    </row>
    <row r="757" spans="1:6" x14ac:dyDescent="0.3">
      <c r="A757">
        <v>756</v>
      </c>
      <c r="B757" t="s">
        <v>25</v>
      </c>
      <c r="C757" t="s">
        <v>7</v>
      </c>
      <c r="D757" t="s">
        <v>1</v>
      </c>
      <c r="E757" t="s">
        <v>9</v>
      </c>
      <c r="F757" t="s">
        <v>23</v>
      </c>
    </row>
    <row r="758" spans="1:6" x14ac:dyDescent="0.3">
      <c r="A758">
        <v>757</v>
      </c>
      <c r="B758" t="s">
        <v>11</v>
      </c>
      <c r="C758" t="s">
        <v>24</v>
      </c>
      <c r="D758" t="s">
        <v>22</v>
      </c>
      <c r="E758" t="s">
        <v>26</v>
      </c>
      <c r="F758" t="s">
        <v>20</v>
      </c>
    </row>
    <row r="759" spans="1:6" x14ac:dyDescent="0.3">
      <c r="A759">
        <v>758</v>
      </c>
      <c r="B759" t="s">
        <v>11</v>
      </c>
      <c r="C759" t="s">
        <v>12</v>
      </c>
      <c r="D759" t="s">
        <v>8</v>
      </c>
      <c r="E759" t="s">
        <v>21</v>
      </c>
      <c r="F759" t="s">
        <v>13</v>
      </c>
    </row>
    <row r="760" spans="1:6" x14ac:dyDescent="0.3">
      <c r="A760">
        <v>759</v>
      </c>
      <c r="B760" t="s">
        <v>18</v>
      </c>
      <c r="C760" t="s">
        <v>7</v>
      </c>
      <c r="D760" t="s">
        <v>8</v>
      </c>
      <c r="E760" t="s">
        <v>19</v>
      </c>
      <c r="F760" t="s">
        <v>23</v>
      </c>
    </row>
    <row r="761" spans="1:6" x14ac:dyDescent="0.3">
      <c r="A761">
        <v>760</v>
      </c>
      <c r="B761" t="s">
        <v>14</v>
      </c>
      <c r="C761" t="s">
        <v>7</v>
      </c>
      <c r="D761" t="s">
        <v>22</v>
      </c>
      <c r="E761" t="s">
        <v>21</v>
      </c>
      <c r="F761" t="s">
        <v>13</v>
      </c>
    </row>
    <row r="762" spans="1:6" x14ac:dyDescent="0.3">
      <c r="A762">
        <v>761</v>
      </c>
      <c r="B762" t="s">
        <v>18</v>
      </c>
      <c r="C762" t="s">
        <v>7</v>
      </c>
      <c r="D762" t="s">
        <v>8</v>
      </c>
      <c r="E762" t="s">
        <v>19</v>
      </c>
      <c r="F762" t="s">
        <v>10</v>
      </c>
    </row>
    <row r="763" spans="1:6" x14ac:dyDescent="0.3">
      <c r="A763">
        <v>762</v>
      </c>
      <c r="B763" t="s">
        <v>14</v>
      </c>
      <c r="C763" t="s">
        <v>24</v>
      </c>
      <c r="D763" t="s">
        <v>8</v>
      </c>
      <c r="E763" t="s">
        <v>26</v>
      </c>
      <c r="F763" t="s">
        <v>13</v>
      </c>
    </row>
    <row r="764" spans="1:6" x14ac:dyDescent="0.3">
      <c r="A764">
        <v>763</v>
      </c>
      <c r="B764" t="s">
        <v>25</v>
      </c>
      <c r="C764" t="s">
        <v>7</v>
      </c>
      <c r="D764" t="s">
        <v>8</v>
      </c>
      <c r="E764" t="s">
        <v>9</v>
      </c>
      <c r="F764" t="s">
        <v>10</v>
      </c>
    </row>
    <row r="765" spans="1:6" x14ac:dyDescent="0.3">
      <c r="A765">
        <v>764</v>
      </c>
      <c r="B765" t="s">
        <v>18</v>
      </c>
      <c r="C765" t="s">
        <v>7</v>
      </c>
      <c r="D765" t="s">
        <v>22</v>
      </c>
      <c r="E765" t="s">
        <v>21</v>
      </c>
      <c r="F765" t="s">
        <v>23</v>
      </c>
    </row>
    <row r="766" spans="1:6" x14ac:dyDescent="0.3">
      <c r="A766">
        <v>765</v>
      </c>
      <c r="B766" t="s">
        <v>16</v>
      </c>
      <c r="C766" t="s">
        <v>7</v>
      </c>
      <c r="D766" t="s">
        <v>8</v>
      </c>
      <c r="E766" t="s">
        <v>21</v>
      </c>
      <c r="F766" t="s">
        <v>23</v>
      </c>
    </row>
    <row r="767" spans="1:6" x14ac:dyDescent="0.3">
      <c r="A767">
        <v>766</v>
      </c>
      <c r="B767" t="s">
        <v>25</v>
      </c>
      <c r="C767" t="s">
        <v>12</v>
      </c>
      <c r="D767" t="s">
        <v>1</v>
      </c>
      <c r="E767" t="s">
        <v>19</v>
      </c>
      <c r="F767" t="s">
        <v>10</v>
      </c>
    </row>
    <row r="768" spans="1:6" x14ac:dyDescent="0.3">
      <c r="A768">
        <v>767</v>
      </c>
      <c r="B768" t="s">
        <v>18</v>
      </c>
      <c r="C768" t="s">
        <v>7</v>
      </c>
      <c r="D768" t="s">
        <v>1</v>
      </c>
      <c r="E768" t="s">
        <v>9</v>
      </c>
      <c r="F768" t="s">
        <v>10</v>
      </c>
    </row>
    <row r="769" spans="1:6" x14ac:dyDescent="0.3">
      <c r="A769">
        <v>768</v>
      </c>
      <c r="B769" t="s">
        <v>25</v>
      </c>
      <c r="C769" t="s">
        <v>12</v>
      </c>
      <c r="D769" t="s">
        <v>8</v>
      </c>
      <c r="E769" t="s">
        <v>21</v>
      </c>
      <c r="F769" t="s">
        <v>13</v>
      </c>
    </row>
    <row r="770" spans="1:6" x14ac:dyDescent="0.3">
      <c r="A770">
        <v>769</v>
      </c>
      <c r="B770" t="s">
        <v>14</v>
      </c>
      <c r="C770" t="s">
        <v>7</v>
      </c>
      <c r="D770" t="s">
        <v>22</v>
      </c>
      <c r="E770" t="s">
        <v>21</v>
      </c>
      <c r="F770" t="s">
        <v>13</v>
      </c>
    </row>
    <row r="771" spans="1:6" x14ac:dyDescent="0.3">
      <c r="A771">
        <v>770</v>
      </c>
      <c r="B771" t="s">
        <v>14</v>
      </c>
      <c r="C771" t="s">
        <v>12</v>
      </c>
      <c r="D771" t="s">
        <v>22</v>
      </c>
      <c r="E771" t="s">
        <v>21</v>
      </c>
      <c r="F771" t="s">
        <v>20</v>
      </c>
    </row>
    <row r="772" spans="1:6" x14ac:dyDescent="0.3">
      <c r="A772">
        <v>771</v>
      </c>
      <c r="B772" t="s">
        <v>18</v>
      </c>
      <c r="C772" t="s">
        <v>12</v>
      </c>
      <c r="D772" t="s">
        <v>8</v>
      </c>
      <c r="E772" t="s">
        <v>21</v>
      </c>
      <c r="F772" t="s">
        <v>20</v>
      </c>
    </row>
    <row r="773" spans="1:6" x14ac:dyDescent="0.3">
      <c r="A773">
        <v>772</v>
      </c>
      <c r="B773" t="s">
        <v>18</v>
      </c>
      <c r="C773" t="s">
        <v>12</v>
      </c>
      <c r="D773" t="s">
        <v>8</v>
      </c>
      <c r="E773" t="s">
        <v>9</v>
      </c>
      <c r="F773" t="s">
        <v>23</v>
      </c>
    </row>
    <row r="774" spans="1:6" x14ac:dyDescent="0.3">
      <c r="A774">
        <v>773</v>
      </c>
      <c r="B774" t="s">
        <v>25</v>
      </c>
      <c r="C774" t="s">
        <v>7</v>
      </c>
      <c r="D774" t="s">
        <v>1</v>
      </c>
      <c r="E774" t="s">
        <v>21</v>
      </c>
      <c r="F774" t="s">
        <v>13</v>
      </c>
    </row>
    <row r="775" spans="1:6" x14ac:dyDescent="0.3">
      <c r="A775">
        <v>774</v>
      </c>
      <c r="B775" t="s">
        <v>25</v>
      </c>
      <c r="C775" t="s">
        <v>7</v>
      </c>
      <c r="D775" t="s">
        <v>8</v>
      </c>
      <c r="E775" t="s">
        <v>19</v>
      </c>
      <c r="F775" t="s">
        <v>10</v>
      </c>
    </row>
    <row r="776" spans="1:6" x14ac:dyDescent="0.3">
      <c r="A776">
        <v>775</v>
      </c>
      <c r="B776" t="s">
        <v>6</v>
      </c>
      <c r="C776" t="s">
        <v>12</v>
      </c>
      <c r="D776" t="s">
        <v>22</v>
      </c>
      <c r="E776" t="s">
        <v>15</v>
      </c>
      <c r="F776" t="s">
        <v>13</v>
      </c>
    </row>
    <row r="777" spans="1:6" x14ac:dyDescent="0.3">
      <c r="A777">
        <v>776</v>
      </c>
      <c r="B777" t="s">
        <v>6</v>
      </c>
      <c r="C777" t="s">
        <v>7</v>
      </c>
      <c r="D777" t="s">
        <v>1</v>
      </c>
      <c r="E777" t="s">
        <v>9</v>
      </c>
      <c r="F777" t="s">
        <v>10</v>
      </c>
    </row>
    <row r="778" spans="1:6" x14ac:dyDescent="0.3">
      <c r="A778">
        <v>777</v>
      </c>
      <c r="B778" t="s">
        <v>25</v>
      </c>
      <c r="C778" t="s">
        <v>7</v>
      </c>
      <c r="D778" t="s">
        <v>22</v>
      </c>
      <c r="E778" t="s">
        <v>9</v>
      </c>
      <c r="F778" t="s">
        <v>23</v>
      </c>
    </row>
    <row r="779" spans="1:6" x14ac:dyDescent="0.3">
      <c r="A779">
        <v>778</v>
      </c>
      <c r="B779" t="s">
        <v>18</v>
      </c>
      <c r="C779" t="s">
        <v>7</v>
      </c>
      <c r="D779" t="s">
        <v>1</v>
      </c>
      <c r="E779" t="s">
        <v>17</v>
      </c>
      <c r="F779" t="s">
        <v>10</v>
      </c>
    </row>
    <row r="780" spans="1:6" x14ac:dyDescent="0.3">
      <c r="A780">
        <v>779</v>
      </c>
      <c r="B780" t="s">
        <v>14</v>
      </c>
      <c r="C780" t="s">
        <v>7</v>
      </c>
      <c r="D780" t="s">
        <v>22</v>
      </c>
      <c r="E780" t="s">
        <v>15</v>
      </c>
      <c r="F780" t="s">
        <v>23</v>
      </c>
    </row>
    <row r="781" spans="1:6" x14ac:dyDescent="0.3">
      <c r="A781">
        <v>780</v>
      </c>
      <c r="B781" t="s">
        <v>6</v>
      </c>
      <c r="C781" t="s">
        <v>12</v>
      </c>
      <c r="D781" t="s">
        <v>1</v>
      </c>
      <c r="E781" t="s">
        <v>15</v>
      </c>
      <c r="F781" t="s">
        <v>23</v>
      </c>
    </row>
    <row r="782" spans="1:6" x14ac:dyDescent="0.3">
      <c r="A782">
        <v>781</v>
      </c>
      <c r="B782" t="s">
        <v>11</v>
      </c>
      <c r="C782" t="s">
        <v>12</v>
      </c>
      <c r="D782" t="s">
        <v>8</v>
      </c>
      <c r="E782" t="s">
        <v>9</v>
      </c>
      <c r="F782" t="s">
        <v>10</v>
      </c>
    </row>
    <row r="783" spans="1:6" x14ac:dyDescent="0.3">
      <c r="A783">
        <v>782</v>
      </c>
      <c r="B783" t="s">
        <v>14</v>
      </c>
      <c r="C783" t="s">
        <v>24</v>
      </c>
      <c r="D783" t="s">
        <v>1</v>
      </c>
      <c r="E783" t="s">
        <v>26</v>
      </c>
      <c r="F783" t="s">
        <v>20</v>
      </c>
    </row>
    <row r="784" spans="1:6" x14ac:dyDescent="0.3">
      <c r="A784">
        <v>783</v>
      </c>
      <c r="B784" t="s">
        <v>6</v>
      </c>
      <c r="C784" t="s">
        <v>7</v>
      </c>
      <c r="D784" t="s">
        <v>8</v>
      </c>
      <c r="E784" t="s">
        <v>19</v>
      </c>
      <c r="F784" t="s">
        <v>23</v>
      </c>
    </row>
    <row r="785" spans="1:6" x14ac:dyDescent="0.3">
      <c r="A785">
        <v>784</v>
      </c>
      <c r="B785" t="s">
        <v>16</v>
      </c>
      <c r="C785" t="s">
        <v>12</v>
      </c>
      <c r="D785" t="s">
        <v>1</v>
      </c>
      <c r="E785" t="s">
        <v>21</v>
      </c>
      <c r="F785" t="s">
        <v>13</v>
      </c>
    </row>
    <row r="786" spans="1:6" x14ac:dyDescent="0.3">
      <c r="A786">
        <v>785</v>
      </c>
      <c r="B786" t="s">
        <v>11</v>
      </c>
      <c r="C786" t="s">
        <v>7</v>
      </c>
      <c r="D786" t="s">
        <v>1</v>
      </c>
      <c r="E786" t="s">
        <v>9</v>
      </c>
      <c r="F786" t="s">
        <v>10</v>
      </c>
    </row>
    <row r="787" spans="1:6" x14ac:dyDescent="0.3">
      <c r="A787">
        <v>786</v>
      </c>
      <c r="B787" t="s">
        <v>25</v>
      </c>
      <c r="C787" t="s">
        <v>7</v>
      </c>
      <c r="D787" t="s">
        <v>8</v>
      </c>
      <c r="E787" t="s">
        <v>9</v>
      </c>
      <c r="F787" t="s">
        <v>23</v>
      </c>
    </row>
    <row r="788" spans="1:6" x14ac:dyDescent="0.3">
      <c r="A788">
        <v>787</v>
      </c>
      <c r="B788" t="s">
        <v>25</v>
      </c>
      <c r="C788" t="s">
        <v>12</v>
      </c>
      <c r="D788" t="s">
        <v>22</v>
      </c>
      <c r="E788" t="s">
        <v>21</v>
      </c>
      <c r="F788" t="s">
        <v>20</v>
      </c>
    </row>
    <row r="789" spans="1:6" x14ac:dyDescent="0.3">
      <c r="A789">
        <v>788</v>
      </c>
      <c r="B789" t="s">
        <v>6</v>
      </c>
      <c r="C789" t="s">
        <v>24</v>
      </c>
      <c r="D789" t="s">
        <v>8</v>
      </c>
      <c r="E789" t="s">
        <v>26</v>
      </c>
      <c r="F789" t="s">
        <v>23</v>
      </c>
    </row>
    <row r="790" spans="1:6" x14ac:dyDescent="0.3">
      <c r="A790">
        <v>789</v>
      </c>
      <c r="B790" t="s">
        <v>6</v>
      </c>
      <c r="C790" t="s">
        <v>7</v>
      </c>
      <c r="D790" t="s">
        <v>8</v>
      </c>
      <c r="E790" t="s">
        <v>9</v>
      </c>
      <c r="F790" t="s">
        <v>10</v>
      </c>
    </row>
    <row r="791" spans="1:6" x14ac:dyDescent="0.3">
      <c r="A791">
        <v>790</v>
      </c>
      <c r="B791" t="s">
        <v>6</v>
      </c>
      <c r="C791" t="s">
        <v>7</v>
      </c>
      <c r="D791" t="s">
        <v>22</v>
      </c>
      <c r="E791" t="s">
        <v>9</v>
      </c>
      <c r="F791" t="s">
        <v>23</v>
      </c>
    </row>
    <row r="792" spans="1:6" x14ac:dyDescent="0.3">
      <c r="A792">
        <v>791</v>
      </c>
      <c r="B792" t="s">
        <v>16</v>
      </c>
      <c r="C792" t="s">
        <v>7</v>
      </c>
      <c r="D792" t="s">
        <v>1</v>
      </c>
      <c r="E792" t="s">
        <v>17</v>
      </c>
      <c r="F792" t="s">
        <v>10</v>
      </c>
    </row>
    <row r="793" spans="1:6" x14ac:dyDescent="0.3">
      <c r="A793">
        <v>792</v>
      </c>
      <c r="B793" t="s">
        <v>18</v>
      </c>
      <c r="C793" t="s">
        <v>24</v>
      </c>
      <c r="D793" t="s">
        <v>1</v>
      </c>
      <c r="E793" t="s">
        <v>17</v>
      </c>
      <c r="F793" t="s">
        <v>10</v>
      </c>
    </row>
    <row r="794" spans="1:6" x14ac:dyDescent="0.3">
      <c r="A794">
        <v>793</v>
      </c>
      <c r="B794" t="s">
        <v>14</v>
      </c>
      <c r="C794" t="s">
        <v>7</v>
      </c>
      <c r="D794" t="s">
        <v>22</v>
      </c>
      <c r="E794" t="s">
        <v>15</v>
      </c>
      <c r="F794" t="s">
        <v>13</v>
      </c>
    </row>
    <row r="795" spans="1:6" x14ac:dyDescent="0.3">
      <c r="A795">
        <v>794</v>
      </c>
      <c r="B795" t="s">
        <v>6</v>
      </c>
      <c r="C795" t="s">
        <v>12</v>
      </c>
      <c r="D795" t="s">
        <v>8</v>
      </c>
      <c r="E795" t="s">
        <v>9</v>
      </c>
      <c r="F795" t="s">
        <v>23</v>
      </c>
    </row>
    <row r="796" spans="1:6" x14ac:dyDescent="0.3">
      <c r="A796">
        <v>795</v>
      </c>
      <c r="B796" t="s">
        <v>6</v>
      </c>
      <c r="C796" t="s">
        <v>7</v>
      </c>
      <c r="D796" t="s">
        <v>8</v>
      </c>
      <c r="E796" t="s">
        <v>9</v>
      </c>
      <c r="F796" t="s">
        <v>23</v>
      </c>
    </row>
    <row r="797" spans="1:6" x14ac:dyDescent="0.3">
      <c r="A797">
        <v>796</v>
      </c>
      <c r="B797" t="s">
        <v>14</v>
      </c>
      <c r="C797" t="s">
        <v>7</v>
      </c>
      <c r="D797" t="s">
        <v>8</v>
      </c>
      <c r="E797" t="s">
        <v>9</v>
      </c>
      <c r="F797" t="s">
        <v>10</v>
      </c>
    </row>
    <row r="798" spans="1:6" x14ac:dyDescent="0.3">
      <c r="A798">
        <v>797</v>
      </c>
      <c r="B798" t="s">
        <v>11</v>
      </c>
      <c r="C798" t="s">
        <v>7</v>
      </c>
      <c r="D798" t="s">
        <v>1</v>
      </c>
      <c r="E798" t="s">
        <v>21</v>
      </c>
      <c r="F798" t="s">
        <v>23</v>
      </c>
    </row>
    <row r="799" spans="1:6" x14ac:dyDescent="0.3">
      <c r="A799">
        <v>798</v>
      </c>
      <c r="B799" t="s">
        <v>11</v>
      </c>
      <c r="C799" t="s">
        <v>12</v>
      </c>
      <c r="D799" t="s">
        <v>22</v>
      </c>
      <c r="E799" t="s">
        <v>21</v>
      </c>
      <c r="F799" t="s">
        <v>13</v>
      </c>
    </row>
    <row r="800" spans="1:6" x14ac:dyDescent="0.3">
      <c r="A800">
        <v>799</v>
      </c>
      <c r="B800" t="s">
        <v>11</v>
      </c>
      <c r="C800" t="s">
        <v>7</v>
      </c>
      <c r="D800" t="s">
        <v>1</v>
      </c>
      <c r="E800" t="s">
        <v>9</v>
      </c>
      <c r="F800" t="s">
        <v>10</v>
      </c>
    </row>
    <row r="801" spans="1:6" x14ac:dyDescent="0.3">
      <c r="A801">
        <v>800</v>
      </c>
      <c r="B801" t="s">
        <v>18</v>
      </c>
      <c r="C801" t="s">
        <v>12</v>
      </c>
      <c r="D801" t="s">
        <v>8</v>
      </c>
      <c r="E801" t="s">
        <v>21</v>
      </c>
      <c r="F801" t="s">
        <v>23</v>
      </c>
    </row>
    <row r="802" spans="1:6" x14ac:dyDescent="0.3">
      <c r="A802">
        <v>801</v>
      </c>
      <c r="B802" t="s">
        <v>18</v>
      </c>
      <c r="C802" t="s">
        <v>7</v>
      </c>
      <c r="D802" t="s">
        <v>8</v>
      </c>
      <c r="E802" t="s">
        <v>9</v>
      </c>
      <c r="F802" t="s">
        <v>10</v>
      </c>
    </row>
    <row r="803" spans="1:6" x14ac:dyDescent="0.3">
      <c r="A803">
        <v>802</v>
      </c>
      <c r="B803" t="s">
        <v>6</v>
      </c>
      <c r="C803" t="s">
        <v>12</v>
      </c>
      <c r="D803" t="s">
        <v>22</v>
      </c>
      <c r="E803" t="s">
        <v>21</v>
      </c>
      <c r="F803" t="s">
        <v>23</v>
      </c>
    </row>
    <row r="804" spans="1:6" x14ac:dyDescent="0.3">
      <c r="A804">
        <v>803</v>
      </c>
      <c r="B804" t="s">
        <v>11</v>
      </c>
      <c r="C804" t="s">
        <v>24</v>
      </c>
      <c r="D804" t="s">
        <v>1</v>
      </c>
      <c r="E804" t="s">
        <v>26</v>
      </c>
      <c r="F804" t="s">
        <v>20</v>
      </c>
    </row>
    <row r="805" spans="1:6" x14ac:dyDescent="0.3">
      <c r="A805">
        <v>804</v>
      </c>
      <c r="B805" t="s">
        <v>16</v>
      </c>
      <c r="C805" t="s">
        <v>12</v>
      </c>
      <c r="D805" t="s">
        <v>8</v>
      </c>
      <c r="E805" t="s">
        <v>9</v>
      </c>
      <c r="F805" t="s">
        <v>20</v>
      </c>
    </row>
    <row r="806" spans="1:6" x14ac:dyDescent="0.3">
      <c r="A806">
        <v>805</v>
      </c>
      <c r="B806" t="s">
        <v>18</v>
      </c>
      <c r="C806" t="s">
        <v>7</v>
      </c>
      <c r="D806" t="s">
        <v>8</v>
      </c>
      <c r="E806" t="s">
        <v>19</v>
      </c>
      <c r="F806" t="s">
        <v>10</v>
      </c>
    </row>
    <row r="807" spans="1:6" x14ac:dyDescent="0.3">
      <c r="A807">
        <v>806</v>
      </c>
      <c r="B807" t="s">
        <v>14</v>
      </c>
      <c r="C807" t="s">
        <v>7</v>
      </c>
      <c r="D807" t="s">
        <v>8</v>
      </c>
      <c r="E807" t="s">
        <v>9</v>
      </c>
      <c r="F807" t="s">
        <v>10</v>
      </c>
    </row>
    <row r="808" spans="1:6" x14ac:dyDescent="0.3">
      <c r="A808">
        <v>807</v>
      </c>
      <c r="B808" t="s">
        <v>25</v>
      </c>
      <c r="C808" t="s">
        <v>12</v>
      </c>
      <c r="D808" t="s">
        <v>22</v>
      </c>
      <c r="E808" t="s">
        <v>15</v>
      </c>
      <c r="F808" t="s">
        <v>23</v>
      </c>
    </row>
    <row r="809" spans="1:6" x14ac:dyDescent="0.3">
      <c r="A809">
        <v>808</v>
      </c>
      <c r="B809" t="s">
        <v>6</v>
      </c>
      <c r="C809" t="s">
        <v>7</v>
      </c>
      <c r="D809" t="s">
        <v>8</v>
      </c>
      <c r="E809" t="s">
        <v>9</v>
      </c>
      <c r="F809" t="s">
        <v>13</v>
      </c>
    </row>
    <row r="810" spans="1:6" x14ac:dyDescent="0.3">
      <c r="A810">
        <v>809</v>
      </c>
      <c r="B810" t="s">
        <v>25</v>
      </c>
      <c r="C810" t="s">
        <v>12</v>
      </c>
      <c r="D810" t="s">
        <v>8</v>
      </c>
      <c r="E810" t="s">
        <v>9</v>
      </c>
      <c r="F810" t="s">
        <v>20</v>
      </c>
    </row>
    <row r="811" spans="1:6" x14ac:dyDescent="0.3">
      <c r="A811">
        <v>810</v>
      </c>
      <c r="B811" t="s">
        <v>16</v>
      </c>
      <c r="C811" t="s">
        <v>12</v>
      </c>
      <c r="D811" t="s">
        <v>22</v>
      </c>
      <c r="E811" t="s">
        <v>9</v>
      </c>
      <c r="F811" t="s">
        <v>23</v>
      </c>
    </row>
    <row r="812" spans="1:6" x14ac:dyDescent="0.3">
      <c r="A812">
        <v>811</v>
      </c>
      <c r="B812" t="s">
        <v>6</v>
      </c>
      <c r="C812" t="s">
        <v>12</v>
      </c>
      <c r="D812" t="s">
        <v>22</v>
      </c>
      <c r="E812" t="s">
        <v>15</v>
      </c>
      <c r="F812" t="s">
        <v>23</v>
      </c>
    </row>
    <row r="813" spans="1:6" x14ac:dyDescent="0.3">
      <c r="A813">
        <v>812</v>
      </c>
      <c r="B813" t="s">
        <v>11</v>
      </c>
      <c r="C813" t="s">
        <v>7</v>
      </c>
      <c r="D813" t="s">
        <v>8</v>
      </c>
      <c r="E813" t="s">
        <v>9</v>
      </c>
      <c r="F813" t="s">
        <v>20</v>
      </c>
    </row>
    <row r="814" spans="1:6" x14ac:dyDescent="0.3">
      <c r="A814">
        <v>813</v>
      </c>
      <c r="B814" t="s">
        <v>25</v>
      </c>
      <c r="C814" t="s">
        <v>7</v>
      </c>
      <c r="D814" t="s">
        <v>8</v>
      </c>
      <c r="E814" t="s">
        <v>9</v>
      </c>
      <c r="F814" t="s">
        <v>10</v>
      </c>
    </row>
    <row r="815" spans="1:6" x14ac:dyDescent="0.3">
      <c r="A815">
        <v>814</v>
      </c>
      <c r="B815" t="s">
        <v>14</v>
      </c>
      <c r="C815" t="s">
        <v>12</v>
      </c>
      <c r="D815" t="s">
        <v>1</v>
      </c>
      <c r="E815" t="s">
        <v>21</v>
      </c>
      <c r="F815" t="s">
        <v>20</v>
      </c>
    </row>
    <row r="816" spans="1:6" x14ac:dyDescent="0.3">
      <c r="A816">
        <v>815</v>
      </c>
      <c r="B816" t="s">
        <v>25</v>
      </c>
      <c r="C816" t="s">
        <v>12</v>
      </c>
      <c r="D816" t="s">
        <v>8</v>
      </c>
      <c r="E816" t="s">
        <v>9</v>
      </c>
      <c r="F816" t="s">
        <v>20</v>
      </c>
    </row>
    <row r="817" spans="1:6" x14ac:dyDescent="0.3">
      <c r="A817">
        <v>816</v>
      </c>
      <c r="B817" t="s">
        <v>25</v>
      </c>
      <c r="C817" t="s">
        <v>12</v>
      </c>
      <c r="D817" t="s">
        <v>22</v>
      </c>
      <c r="E817" t="s">
        <v>21</v>
      </c>
      <c r="F817" t="s">
        <v>20</v>
      </c>
    </row>
    <row r="818" spans="1:6" x14ac:dyDescent="0.3">
      <c r="A818">
        <v>817</v>
      </c>
      <c r="B818" t="s">
        <v>6</v>
      </c>
      <c r="C818" t="s">
        <v>12</v>
      </c>
      <c r="D818" t="s">
        <v>22</v>
      </c>
      <c r="E818" t="s">
        <v>21</v>
      </c>
      <c r="F818" t="s">
        <v>23</v>
      </c>
    </row>
    <row r="819" spans="1:6" x14ac:dyDescent="0.3">
      <c r="A819">
        <v>818</v>
      </c>
      <c r="B819" t="s">
        <v>14</v>
      </c>
      <c r="C819" t="s">
        <v>7</v>
      </c>
      <c r="D819" t="s">
        <v>22</v>
      </c>
      <c r="E819" t="s">
        <v>9</v>
      </c>
      <c r="F819" t="s">
        <v>20</v>
      </c>
    </row>
    <row r="820" spans="1:6" x14ac:dyDescent="0.3">
      <c r="A820">
        <v>819</v>
      </c>
      <c r="B820" t="s">
        <v>6</v>
      </c>
      <c r="C820" t="s">
        <v>24</v>
      </c>
      <c r="D820" t="s">
        <v>8</v>
      </c>
      <c r="E820" t="s">
        <v>15</v>
      </c>
      <c r="F820" t="s">
        <v>13</v>
      </c>
    </row>
    <row r="821" spans="1:6" x14ac:dyDescent="0.3">
      <c r="A821">
        <v>820</v>
      </c>
      <c r="B821" t="s">
        <v>25</v>
      </c>
      <c r="C821" t="s">
        <v>12</v>
      </c>
      <c r="D821" t="s">
        <v>1</v>
      </c>
      <c r="E821" t="s">
        <v>21</v>
      </c>
      <c r="F821" t="s">
        <v>20</v>
      </c>
    </row>
    <row r="822" spans="1:6" x14ac:dyDescent="0.3">
      <c r="A822">
        <v>821</v>
      </c>
      <c r="B822" t="s">
        <v>14</v>
      </c>
      <c r="C822" t="s">
        <v>7</v>
      </c>
      <c r="D822" t="s">
        <v>22</v>
      </c>
      <c r="E822" t="s">
        <v>9</v>
      </c>
      <c r="F822" t="s">
        <v>20</v>
      </c>
    </row>
    <row r="823" spans="1:6" x14ac:dyDescent="0.3">
      <c r="A823">
        <v>822</v>
      </c>
      <c r="B823" t="s">
        <v>18</v>
      </c>
      <c r="C823" t="s">
        <v>7</v>
      </c>
      <c r="D823" t="s">
        <v>8</v>
      </c>
      <c r="E823" t="s">
        <v>9</v>
      </c>
      <c r="F823" t="s">
        <v>20</v>
      </c>
    </row>
    <row r="824" spans="1:6" x14ac:dyDescent="0.3">
      <c r="A824">
        <v>823</v>
      </c>
      <c r="B824" t="s">
        <v>14</v>
      </c>
      <c r="C824" t="s">
        <v>7</v>
      </c>
      <c r="D824" t="s">
        <v>8</v>
      </c>
      <c r="E824" t="s">
        <v>19</v>
      </c>
      <c r="F824" t="s">
        <v>10</v>
      </c>
    </row>
    <row r="825" spans="1:6" x14ac:dyDescent="0.3">
      <c r="A825">
        <v>824</v>
      </c>
      <c r="B825" t="s">
        <v>25</v>
      </c>
      <c r="C825" t="s">
        <v>7</v>
      </c>
      <c r="D825" t="s">
        <v>8</v>
      </c>
      <c r="E825" t="s">
        <v>9</v>
      </c>
      <c r="F825" t="s">
        <v>13</v>
      </c>
    </row>
    <row r="826" spans="1:6" x14ac:dyDescent="0.3">
      <c r="A826">
        <v>825</v>
      </c>
      <c r="B826" t="s">
        <v>6</v>
      </c>
      <c r="C826" t="s">
        <v>7</v>
      </c>
      <c r="D826" t="s">
        <v>22</v>
      </c>
      <c r="E826" t="s">
        <v>21</v>
      </c>
      <c r="F826" t="s">
        <v>13</v>
      </c>
    </row>
    <row r="827" spans="1:6" x14ac:dyDescent="0.3">
      <c r="A827">
        <v>826</v>
      </c>
      <c r="B827" t="s">
        <v>14</v>
      </c>
      <c r="C827" t="s">
        <v>12</v>
      </c>
      <c r="D827" t="s">
        <v>22</v>
      </c>
      <c r="E827" t="s">
        <v>15</v>
      </c>
      <c r="F827" t="s">
        <v>20</v>
      </c>
    </row>
    <row r="828" spans="1:6" x14ac:dyDescent="0.3">
      <c r="A828">
        <v>827</v>
      </c>
      <c r="B828" t="s">
        <v>16</v>
      </c>
      <c r="C828" t="s">
        <v>7</v>
      </c>
      <c r="D828" t="s">
        <v>8</v>
      </c>
      <c r="E828" t="s">
        <v>9</v>
      </c>
      <c r="F828" t="s">
        <v>23</v>
      </c>
    </row>
    <row r="829" spans="1:6" x14ac:dyDescent="0.3">
      <c r="A829">
        <v>828</v>
      </c>
      <c r="B829" t="s">
        <v>18</v>
      </c>
      <c r="C829" t="s">
        <v>12</v>
      </c>
      <c r="D829" t="s">
        <v>1</v>
      </c>
      <c r="E829" t="s">
        <v>19</v>
      </c>
      <c r="F829" t="s">
        <v>10</v>
      </c>
    </row>
    <row r="830" spans="1:6" x14ac:dyDescent="0.3">
      <c r="A830">
        <v>829</v>
      </c>
      <c r="B830" t="s">
        <v>6</v>
      </c>
      <c r="C830" t="s">
        <v>12</v>
      </c>
      <c r="D830" t="s">
        <v>1</v>
      </c>
      <c r="E830" t="s">
        <v>21</v>
      </c>
      <c r="F830" t="s">
        <v>20</v>
      </c>
    </row>
    <row r="831" spans="1:6" x14ac:dyDescent="0.3">
      <c r="A831">
        <v>830</v>
      </c>
      <c r="B831" t="s">
        <v>18</v>
      </c>
      <c r="C831" t="s">
        <v>12</v>
      </c>
      <c r="D831" t="s">
        <v>1</v>
      </c>
      <c r="E831" t="s">
        <v>9</v>
      </c>
      <c r="F831" t="s">
        <v>10</v>
      </c>
    </row>
    <row r="832" spans="1:6" x14ac:dyDescent="0.3">
      <c r="A832">
        <v>831</v>
      </c>
      <c r="B832" t="s">
        <v>18</v>
      </c>
      <c r="C832" t="s">
        <v>12</v>
      </c>
      <c r="D832" t="s">
        <v>8</v>
      </c>
      <c r="E832" t="s">
        <v>21</v>
      </c>
      <c r="F832" t="s">
        <v>23</v>
      </c>
    </row>
    <row r="833" spans="1:6" x14ac:dyDescent="0.3">
      <c r="A833">
        <v>832</v>
      </c>
      <c r="B833" t="s">
        <v>11</v>
      </c>
      <c r="C833" t="s">
        <v>12</v>
      </c>
      <c r="D833" t="s">
        <v>1</v>
      </c>
      <c r="E833" t="s">
        <v>21</v>
      </c>
      <c r="F833" t="s">
        <v>23</v>
      </c>
    </row>
    <row r="834" spans="1:6" x14ac:dyDescent="0.3">
      <c r="A834">
        <v>833</v>
      </c>
      <c r="B834" t="s">
        <v>14</v>
      </c>
      <c r="C834" t="s">
        <v>12</v>
      </c>
      <c r="D834" t="s">
        <v>8</v>
      </c>
      <c r="E834" t="s">
        <v>17</v>
      </c>
      <c r="F834" t="s">
        <v>10</v>
      </c>
    </row>
    <row r="835" spans="1:6" x14ac:dyDescent="0.3">
      <c r="A835">
        <v>834</v>
      </c>
      <c r="B835" t="s">
        <v>16</v>
      </c>
      <c r="C835" t="s">
        <v>7</v>
      </c>
      <c r="D835" t="s">
        <v>8</v>
      </c>
      <c r="E835" t="s">
        <v>9</v>
      </c>
      <c r="F835" t="s">
        <v>13</v>
      </c>
    </row>
    <row r="836" spans="1:6" x14ac:dyDescent="0.3">
      <c r="A836">
        <v>835</v>
      </c>
      <c r="B836" t="s">
        <v>14</v>
      </c>
      <c r="C836" t="s">
        <v>24</v>
      </c>
      <c r="D836" t="s">
        <v>8</v>
      </c>
      <c r="E836" t="s">
        <v>15</v>
      </c>
      <c r="F836" t="s">
        <v>20</v>
      </c>
    </row>
    <row r="837" spans="1:6" x14ac:dyDescent="0.3">
      <c r="A837">
        <v>836</v>
      </c>
      <c r="B837" t="s">
        <v>6</v>
      </c>
      <c r="C837" t="s">
        <v>7</v>
      </c>
      <c r="D837" t="s">
        <v>1</v>
      </c>
      <c r="E837" t="s">
        <v>19</v>
      </c>
      <c r="F837" t="s">
        <v>10</v>
      </c>
    </row>
    <row r="838" spans="1:6" x14ac:dyDescent="0.3">
      <c r="A838">
        <v>837</v>
      </c>
      <c r="B838" t="s">
        <v>11</v>
      </c>
      <c r="C838" t="s">
        <v>7</v>
      </c>
      <c r="D838" t="s">
        <v>8</v>
      </c>
      <c r="E838" t="s">
        <v>9</v>
      </c>
      <c r="F838" t="s">
        <v>10</v>
      </c>
    </row>
    <row r="839" spans="1:6" x14ac:dyDescent="0.3">
      <c r="A839">
        <v>838</v>
      </c>
      <c r="B839" t="s">
        <v>14</v>
      </c>
      <c r="C839" t="s">
        <v>7</v>
      </c>
      <c r="D839" t="s">
        <v>8</v>
      </c>
      <c r="E839" t="s">
        <v>9</v>
      </c>
      <c r="F839" t="s">
        <v>13</v>
      </c>
    </row>
    <row r="840" spans="1:6" x14ac:dyDescent="0.3">
      <c r="A840">
        <v>839</v>
      </c>
      <c r="B840" t="s">
        <v>18</v>
      </c>
      <c r="C840" t="s">
        <v>12</v>
      </c>
      <c r="D840" t="s">
        <v>1</v>
      </c>
      <c r="E840" t="s">
        <v>9</v>
      </c>
      <c r="F840" t="s">
        <v>13</v>
      </c>
    </row>
    <row r="841" spans="1:6" x14ac:dyDescent="0.3">
      <c r="A841">
        <v>840</v>
      </c>
      <c r="B841" t="s">
        <v>18</v>
      </c>
      <c r="C841" t="s">
        <v>7</v>
      </c>
      <c r="D841" t="s">
        <v>8</v>
      </c>
      <c r="E841" t="s">
        <v>19</v>
      </c>
      <c r="F841" t="s">
        <v>23</v>
      </c>
    </row>
    <row r="842" spans="1:6" x14ac:dyDescent="0.3">
      <c r="A842">
        <v>841</v>
      </c>
      <c r="B842" t="s">
        <v>14</v>
      </c>
      <c r="C842" t="s">
        <v>12</v>
      </c>
      <c r="D842" t="s">
        <v>8</v>
      </c>
      <c r="E842" t="s">
        <v>9</v>
      </c>
      <c r="F842" t="s">
        <v>23</v>
      </c>
    </row>
    <row r="843" spans="1:6" x14ac:dyDescent="0.3">
      <c r="A843">
        <v>842</v>
      </c>
      <c r="B843" t="s">
        <v>18</v>
      </c>
      <c r="C843" t="s">
        <v>12</v>
      </c>
      <c r="D843" t="s">
        <v>8</v>
      </c>
      <c r="E843" t="s">
        <v>19</v>
      </c>
      <c r="F843" t="s">
        <v>13</v>
      </c>
    </row>
    <row r="844" spans="1:6" x14ac:dyDescent="0.3">
      <c r="A844">
        <v>843</v>
      </c>
      <c r="B844" t="s">
        <v>14</v>
      </c>
      <c r="C844" t="s">
        <v>12</v>
      </c>
      <c r="D844" t="s">
        <v>1</v>
      </c>
      <c r="E844" t="s">
        <v>9</v>
      </c>
      <c r="F844" t="s">
        <v>20</v>
      </c>
    </row>
    <row r="845" spans="1:6" x14ac:dyDescent="0.3">
      <c r="A845">
        <v>844</v>
      </c>
      <c r="B845" t="s">
        <v>25</v>
      </c>
      <c r="C845" t="s">
        <v>7</v>
      </c>
      <c r="D845" t="s">
        <v>8</v>
      </c>
      <c r="E845" t="s">
        <v>9</v>
      </c>
      <c r="F845" t="s">
        <v>13</v>
      </c>
    </row>
    <row r="846" spans="1:6" x14ac:dyDescent="0.3">
      <c r="A846">
        <v>845</v>
      </c>
      <c r="B846" t="s">
        <v>6</v>
      </c>
      <c r="C846" t="s">
        <v>7</v>
      </c>
      <c r="D846" t="s">
        <v>8</v>
      </c>
      <c r="E846" t="s">
        <v>21</v>
      </c>
      <c r="F846" t="s">
        <v>23</v>
      </c>
    </row>
    <row r="847" spans="1:6" x14ac:dyDescent="0.3">
      <c r="A847">
        <v>846</v>
      </c>
      <c r="B847" t="s">
        <v>11</v>
      </c>
      <c r="C847" t="s">
        <v>7</v>
      </c>
      <c r="D847" t="s">
        <v>22</v>
      </c>
      <c r="E847" t="s">
        <v>19</v>
      </c>
      <c r="F847" t="s">
        <v>10</v>
      </c>
    </row>
    <row r="848" spans="1:6" x14ac:dyDescent="0.3">
      <c r="A848">
        <v>847</v>
      </c>
      <c r="B848" t="s">
        <v>18</v>
      </c>
      <c r="C848" t="s">
        <v>12</v>
      </c>
      <c r="D848" t="s">
        <v>8</v>
      </c>
      <c r="E848" t="s">
        <v>19</v>
      </c>
      <c r="F848" t="s">
        <v>23</v>
      </c>
    </row>
    <row r="849" spans="1:6" x14ac:dyDescent="0.3">
      <c r="A849">
        <v>848</v>
      </c>
      <c r="B849" t="s">
        <v>14</v>
      </c>
      <c r="C849" t="s">
        <v>24</v>
      </c>
      <c r="D849" t="s">
        <v>8</v>
      </c>
      <c r="E849" t="s">
        <v>26</v>
      </c>
      <c r="F849" t="s">
        <v>13</v>
      </c>
    </row>
    <row r="850" spans="1:6" x14ac:dyDescent="0.3">
      <c r="A850">
        <v>849</v>
      </c>
      <c r="B850" t="s">
        <v>25</v>
      </c>
      <c r="C850" t="s">
        <v>24</v>
      </c>
      <c r="D850" t="s">
        <v>1</v>
      </c>
      <c r="E850" t="s">
        <v>26</v>
      </c>
      <c r="F850" t="s">
        <v>13</v>
      </c>
    </row>
    <row r="851" spans="1:6" x14ac:dyDescent="0.3">
      <c r="A851">
        <v>850</v>
      </c>
      <c r="B851" t="s">
        <v>11</v>
      </c>
      <c r="C851" t="s">
        <v>12</v>
      </c>
      <c r="D851" t="s">
        <v>8</v>
      </c>
      <c r="E851" t="s">
        <v>19</v>
      </c>
      <c r="F851" t="s">
        <v>10</v>
      </c>
    </row>
    <row r="852" spans="1:6" x14ac:dyDescent="0.3">
      <c r="A852">
        <v>851</v>
      </c>
      <c r="B852" t="s">
        <v>18</v>
      </c>
      <c r="C852" t="s">
        <v>12</v>
      </c>
      <c r="D852" t="s">
        <v>8</v>
      </c>
      <c r="E852" t="s">
        <v>9</v>
      </c>
      <c r="F852" t="s">
        <v>23</v>
      </c>
    </row>
    <row r="853" spans="1:6" x14ac:dyDescent="0.3">
      <c r="A853">
        <v>852</v>
      </c>
      <c r="B853" t="s">
        <v>25</v>
      </c>
      <c r="C853" t="s">
        <v>12</v>
      </c>
      <c r="D853" t="s">
        <v>8</v>
      </c>
      <c r="E853" t="s">
        <v>9</v>
      </c>
      <c r="F853" t="s">
        <v>20</v>
      </c>
    </row>
    <row r="854" spans="1:6" x14ac:dyDescent="0.3">
      <c r="A854">
        <v>853</v>
      </c>
      <c r="B854" t="s">
        <v>14</v>
      </c>
      <c r="C854" t="s">
        <v>12</v>
      </c>
      <c r="D854" t="s">
        <v>1</v>
      </c>
      <c r="E854" t="s">
        <v>9</v>
      </c>
      <c r="F854" t="s">
        <v>10</v>
      </c>
    </row>
    <row r="855" spans="1:6" x14ac:dyDescent="0.3">
      <c r="A855">
        <v>854</v>
      </c>
      <c r="B855" t="s">
        <v>6</v>
      </c>
      <c r="C855" t="s">
        <v>7</v>
      </c>
      <c r="D855" t="s">
        <v>8</v>
      </c>
      <c r="E855" t="s">
        <v>9</v>
      </c>
      <c r="F855" t="s">
        <v>13</v>
      </c>
    </row>
    <row r="856" spans="1:6" x14ac:dyDescent="0.3">
      <c r="A856">
        <v>855</v>
      </c>
      <c r="B856" t="s">
        <v>16</v>
      </c>
      <c r="C856" t="s">
        <v>12</v>
      </c>
      <c r="D856" t="s">
        <v>8</v>
      </c>
      <c r="E856" t="s">
        <v>9</v>
      </c>
      <c r="F856" t="s">
        <v>13</v>
      </c>
    </row>
    <row r="857" spans="1:6" x14ac:dyDescent="0.3">
      <c r="A857">
        <v>856</v>
      </c>
      <c r="B857" t="s">
        <v>16</v>
      </c>
      <c r="C857" t="s">
        <v>24</v>
      </c>
      <c r="D857" t="s">
        <v>22</v>
      </c>
      <c r="E857" t="s">
        <v>26</v>
      </c>
      <c r="F857" t="s">
        <v>13</v>
      </c>
    </row>
    <row r="858" spans="1:6" x14ac:dyDescent="0.3">
      <c r="A858">
        <v>857</v>
      </c>
      <c r="B858" t="s">
        <v>25</v>
      </c>
      <c r="C858" t="s">
        <v>7</v>
      </c>
      <c r="D858" t="s">
        <v>8</v>
      </c>
      <c r="E858" t="s">
        <v>9</v>
      </c>
      <c r="F858" t="s">
        <v>13</v>
      </c>
    </row>
    <row r="859" spans="1:6" x14ac:dyDescent="0.3">
      <c r="A859">
        <v>858</v>
      </c>
      <c r="B859" t="s">
        <v>11</v>
      </c>
      <c r="C859" t="s">
        <v>12</v>
      </c>
      <c r="D859" t="s">
        <v>1</v>
      </c>
      <c r="E859" t="s">
        <v>15</v>
      </c>
      <c r="F859" t="s">
        <v>23</v>
      </c>
    </row>
    <row r="860" spans="1:6" x14ac:dyDescent="0.3">
      <c r="A860">
        <v>859</v>
      </c>
      <c r="B860" t="s">
        <v>6</v>
      </c>
      <c r="C860" t="s">
        <v>7</v>
      </c>
      <c r="D860" t="s">
        <v>8</v>
      </c>
      <c r="E860" t="s">
        <v>9</v>
      </c>
      <c r="F860" t="s">
        <v>20</v>
      </c>
    </row>
    <row r="861" spans="1:6" x14ac:dyDescent="0.3">
      <c r="A861">
        <v>860</v>
      </c>
      <c r="B861" t="s">
        <v>11</v>
      </c>
      <c r="C861" t="s">
        <v>7</v>
      </c>
      <c r="D861" t="s">
        <v>8</v>
      </c>
      <c r="E861" t="s">
        <v>9</v>
      </c>
      <c r="F861" t="s">
        <v>23</v>
      </c>
    </row>
    <row r="862" spans="1:6" x14ac:dyDescent="0.3">
      <c r="A862">
        <v>861</v>
      </c>
      <c r="B862" t="s">
        <v>18</v>
      </c>
      <c r="C862" t="s">
        <v>12</v>
      </c>
      <c r="D862" t="s">
        <v>1</v>
      </c>
      <c r="E862" t="s">
        <v>9</v>
      </c>
      <c r="F862" t="s">
        <v>23</v>
      </c>
    </row>
    <row r="863" spans="1:6" x14ac:dyDescent="0.3">
      <c r="A863">
        <v>862</v>
      </c>
      <c r="B863" t="s">
        <v>25</v>
      </c>
      <c r="C863" t="s">
        <v>7</v>
      </c>
      <c r="D863" t="s">
        <v>8</v>
      </c>
      <c r="E863" t="s">
        <v>9</v>
      </c>
      <c r="F863" t="s">
        <v>10</v>
      </c>
    </row>
    <row r="864" spans="1:6" x14ac:dyDescent="0.3">
      <c r="A864">
        <v>863</v>
      </c>
      <c r="B864" t="s">
        <v>16</v>
      </c>
      <c r="C864" t="s">
        <v>7</v>
      </c>
      <c r="D864" t="s">
        <v>8</v>
      </c>
      <c r="E864" t="s">
        <v>9</v>
      </c>
      <c r="F864" t="s">
        <v>23</v>
      </c>
    </row>
    <row r="865" spans="1:6" x14ac:dyDescent="0.3">
      <c r="A865">
        <v>864</v>
      </c>
      <c r="B865" t="s">
        <v>18</v>
      </c>
      <c r="C865" t="s">
        <v>12</v>
      </c>
      <c r="D865" t="s">
        <v>22</v>
      </c>
      <c r="E865" t="s">
        <v>21</v>
      </c>
      <c r="F865" t="s">
        <v>23</v>
      </c>
    </row>
    <row r="866" spans="1:6" x14ac:dyDescent="0.3">
      <c r="A866">
        <v>865</v>
      </c>
      <c r="B866" t="s">
        <v>14</v>
      </c>
      <c r="C866" t="s">
        <v>7</v>
      </c>
      <c r="D866" t="s">
        <v>8</v>
      </c>
      <c r="E866" t="s">
        <v>9</v>
      </c>
      <c r="F866" t="s">
        <v>20</v>
      </c>
    </row>
    <row r="867" spans="1:6" x14ac:dyDescent="0.3">
      <c r="A867">
        <v>866</v>
      </c>
      <c r="B867" t="s">
        <v>11</v>
      </c>
      <c r="C867" t="s">
        <v>7</v>
      </c>
      <c r="D867" t="s">
        <v>1</v>
      </c>
      <c r="E867" t="s">
        <v>9</v>
      </c>
      <c r="F867" t="s">
        <v>20</v>
      </c>
    </row>
    <row r="868" spans="1:6" x14ac:dyDescent="0.3">
      <c r="A868">
        <v>867</v>
      </c>
      <c r="B868" t="s">
        <v>11</v>
      </c>
      <c r="C868" t="s">
        <v>7</v>
      </c>
      <c r="D868" t="s">
        <v>8</v>
      </c>
      <c r="E868" t="s">
        <v>9</v>
      </c>
      <c r="F868" t="s">
        <v>10</v>
      </c>
    </row>
    <row r="869" spans="1:6" x14ac:dyDescent="0.3">
      <c r="A869">
        <v>868</v>
      </c>
      <c r="B869" t="s">
        <v>25</v>
      </c>
      <c r="C869" t="s">
        <v>7</v>
      </c>
      <c r="D869" t="s">
        <v>1</v>
      </c>
      <c r="E869" t="s">
        <v>21</v>
      </c>
      <c r="F869" t="s">
        <v>13</v>
      </c>
    </row>
    <row r="870" spans="1:6" x14ac:dyDescent="0.3">
      <c r="A870">
        <v>869</v>
      </c>
      <c r="B870" t="s">
        <v>11</v>
      </c>
      <c r="C870" t="s">
        <v>12</v>
      </c>
      <c r="D870" t="s">
        <v>22</v>
      </c>
      <c r="E870" t="s">
        <v>9</v>
      </c>
      <c r="F870" t="s">
        <v>23</v>
      </c>
    </row>
    <row r="871" spans="1:6" x14ac:dyDescent="0.3">
      <c r="A871">
        <v>870</v>
      </c>
      <c r="B871" t="s">
        <v>6</v>
      </c>
      <c r="C871" t="s">
        <v>12</v>
      </c>
      <c r="D871" t="s">
        <v>22</v>
      </c>
      <c r="E871" t="s">
        <v>21</v>
      </c>
      <c r="F871" t="s">
        <v>13</v>
      </c>
    </row>
    <row r="872" spans="1:6" x14ac:dyDescent="0.3">
      <c r="A872">
        <v>871</v>
      </c>
      <c r="B872" t="s">
        <v>14</v>
      </c>
      <c r="C872" t="s">
        <v>24</v>
      </c>
      <c r="D872" t="s">
        <v>22</v>
      </c>
      <c r="E872" t="s">
        <v>26</v>
      </c>
      <c r="F872" t="s">
        <v>20</v>
      </c>
    </row>
    <row r="873" spans="1:6" x14ac:dyDescent="0.3">
      <c r="A873">
        <v>872</v>
      </c>
      <c r="B873" t="s">
        <v>16</v>
      </c>
      <c r="C873" t="s">
        <v>24</v>
      </c>
      <c r="D873" t="s">
        <v>8</v>
      </c>
      <c r="E873" t="s">
        <v>15</v>
      </c>
      <c r="F873" t="s">
        <v>20</v>
      </c>
    </row>
    <row r="874" spans="1:6" x14ac:dyDescent="0.3">
      <c r="A874">
        <v>873</v>
      </c>
      <c r="B874" t="s">
        <v>14</v>
      </c>
      <c r="C874" t="s">
        <v>12</v>
      </c>
      <c r="D874" t="s">
        <v>1</v>
      </c>
      <c r="E874" t="s">
        <v>21</v>
      </c>
      <c r="F874" t="s">
        <v>10</v>
      </c>
    </row>
    <row r="875" spans="1:6" x14ac:dyDescent="0.3">
      <c r="A875">
        <v>874</v>
      </c>
      <c r="B875" t="s">
        <v>6</v>
      </c>
      <c r="C875" t="s">
        <v>7</v>
      </c>
      <c r="D875" t="s">
        <v>1</v>
      </c>
      <c r="E875" t="s">
        <v>21</v>
      </c>
      <c r="F875" t="s">
        <v>10</v>
      </c>
    </row>
    <row r="876" spans="1:6" x14ac:dyDescent="0.3">
      <c r="A876">
        <v>875</v>
      </c>
      <c r="B876" t="s">
        <v>6</v>
      </c>
      <c r="C876" t="s">
        <v>12</v>
      </c>
      <c r="D876" t="s">
        <v>8</v>
      </c>
      <c r="E876" t="s">
        <v>21</v>
      </c>
      <c r="F876" t="s">
        <v>13</v>
      </c>
    </row>
    <row r="877" spans="1:6" x14ac:dyDescent="0.3">
      <c r="A877">
        <v>876</v>
      </c>
      <c r="B877" t="s">
        <v>18</v>
      </c>
      <c r="C877" t="s">
        <v>12</v>
      </c>
      <c r="D877" t="s">
        <v>8</v>
      </c>
      <c r="E877" t="s">
        <v>21</v>
      </c>
      <c r="F877" t="s">
        <v>20</v>
      </c>
    </row>
    <row r="878" spans="1:6" x14ac:dyDescent="0.3">
      <c r="A878">
        <v>877</v>
      </c>
      <c r="B878" t="s">
        <v>18</v>
      </c>
      <c r="C878" t="s">
        <v>7</v>
      </c>
      <c r="D878" t="s">
        <v>22</v>
      </c>
      <c r="E878" t="s">
        <v>21</v>
      </c>
      <c r="F878" t="s">
        <v>13</v>
      </c>
    </row>
    <row r="879" spans="1:6" x14ac:dyDescent="0.3">
      <c r="A879">
        <v>878</v>
      </c>
      <c r="B879" t="s">
        <v>16</v>
      </c>
      <c r="C879" t="s">
        <v>12</v>
      </c>
      <c r="D879" t="s">
        <v>8</v>
      </c>
      <c r="E879" t="s">
        <v>9</v>
      </c>
      <c r="F879" t="s">
        <v>10</v>
      </c>
    </row>
    <row r="880" spans="1:6" x14ac:dyDescent="0.3">
      <c r="A880">
        <v>879</v>
      </c>
      <c r="B880" t="s">
        <v>16</v>
      </c>
      <c r="C880" t="s">
        <v>24</v>
      </c>
      <c r="D880" t="s">
        <v>8</v>
      </c>
      <c r="E880" t="s">
        <v>15</v>
      </c>
      <c r="F880" t="s">
        <v>20</v>
      </c>
    </row>
    <row r="881" spans="1:6" x14ac:dyDescent="0.3">
      <c r="A881">
        <v>880</v>
      </c>
      <c r="B881" t="s">
        <v>6</v>
      </c>
      <c r="C881" t="s">
        <v>7</v>
      </c>
      <c r="D881" t="s">
        <v>22</v>
      </c>
      <c r="E881" t="s">
        <v>19</v>
      </c>
      <c r="F881" t="s">
        <v>10</v>
      </c>
    </row>
    <row r="882" spans="1:6" x14ac:dyDescent="0.3">
      <c r="A882">
        <v>881</v>
      </c>
      <c r="B882" t="s">
        <v>18</v>
      </c>
      <c r="C882" t="s">
        <v>7</v>
      </c>
      <c r="D882" t="s">
        <v>8</v>
      </c>
      <c r="E882" t="s">
        <v>19</v>
      </c>
      <c r="F882" t="s">
        <v>13</v>
      </c>
    </row>
    <row r="883" spans="1:6" x14ac:dyDescent="0.3">
      <c r="A883">
        <v>882</v>
      </c>
      <c r="B883" t="s">
        <v>18</v>
      </c>
      <c r="C883" t="s">
        <v>7</v>
      </c>
      <c r="D883" t="s">
        <v>22</v>
      </c>
      <c r="E883" t="s">
        <v>21</v>
      </c>
      <c r="F883" t="s">
        <v>23</v>
      </c>
    </row>
    <row r="884" spans="1:6" x14ac:dyDescent="0.3">
      <c r="A884">
        <v>883</v>
      </c>
      <c r="B884" t="s">
        <v>25</v>
      </c>
      <c r="C884" t="s">
        <v>7</v>
      </c>
      <c r="D884" t="s">
        <v>22</v>
      </c>
      <c r="E884" t="s">
        <v>9</v>
      </c>
      <c r="F884" t="s">
        <v>10</v>
      </c>
    </row>
    <row r="885" spans="1:6" x14ac:dyDescent="0.3">
      <c r="A885">
        <v>884</v>
      </c>
      <c r="B885" t="s">
        <v>6</v>
      </c>
      <c r="C885" t="s">
        <v>7</v>
      </c>
      <c r="D885" t="s">
        <v>1</v>
      </c>
      <c r="E885" t="s">
        <v>9</v>
      </c>
      <c r="F885" t="s">
        <v>20</v>
      </c>
    </row>
    <row r="886" spans="1:6" x14ac:dyDescent="0.3">
      <c r="A886">
        <v>885</v>
      </c>
      <c r="B886" t="s">
        <v>18</v>
      </c>
      <c r="C886" t="s">
        <v>7</v>
      </c>
      <c r="D886" t="s">
        <v>8</v>
      </c>
      <c r="E886" t="s">
        <v>21</v>
      </c>
      <c r="F886" t="s">
        <v>20</v>
      </c>
    </row>
    <row r="887" spans="1:6" x14ac:dyDescent="0.3">
      <c r="A887">
        <v>886</v>
      </c>
      <c r="B887" t="s">
        <v>18</v>
      </c>
      <c r="C887" t="s">
        <v>12</v>
      </c>
      <c r="D887" t="s">
        <v>1</v>
      </c>
      <c r="E887" t="s">
        <v>9</v>
      </c>
      <c r="F887" t="s">
        <v>10</v>
      </c>
    </row>
    <row r="888" spans="1:6" x14ac:dyDescent="0.3">
      <c r="A888">
        <v>887</v>
      </c>
      <c r="B888" t="s">
        <v>11</v>
      </c>
      <c r="C888" t="s">
        <v>12</v>
      </c>
      <c r="D888" t="s">
        <v>22</v>
      </c>
      <c r="E888" t="s">
        <v>21</v>
      </c>
      <c r="F888" t="s">
        <v>20</v>
      </c>
    </row>
    <row r="889" spans="1:6" x14ac:dyDescent="0.3">
      <c r="A889">
        <v>888</v>
      </c>
      <c r="B889" t="s">
        <v>14</v>
      </c>
      <c r="C889" t="s">
        <v>12</v>
      </c>
      <c r="D889" t="s">
        <v>1</v>
      </c>
      <c r="E889" t="s">
        <v>21</v>
      </c>
      <c r="F889" t="s">
        <v>13</v>
      </c>
    </row>
    <row r="890" spans="1:6" x14ac:dyDescent="0.3">
      <c r="A890">
        <v>889</v>
      </c>
      <c r="B890" t="s">
        <v>11</v>
      </c>
      <c r="C890" t="s">
        <v>7</v>
      </c>
      <c r="D890" t="s">
        <v>1</v>
      </c>
      <c r="E890" t="s">
        <v>19</v>
      </c>
      <c r="F890" t="s">
        <v>10</v>
      </c>
    </row>
    <row r="891" spans="1:6" x14ac:dyDescent="0.3">
      <c r="A891">
        <v>890</v>
      </c>
      <c r="B891" t="s">
        <v>6</v>
      </c>
      <c r="C891" t="s">
        <v>7</v>
      </c>
      <c r="D891" t="s">
        <v>8</v>
      </c>
      <c r="E891" t="s">
        <v>21</v>
      </c>
      <c r="F891" t="s">
        <v>23</v>
      </c>
    </row>
    <row r="892" spans="1:6" x14ac:dyDescent="0.3">
      <c r="A892">
        <v>891</v>
      </c>
      <c r="B892" t="s">
        <v>14</v>
      </c>
      <c r="C892" t="s">
        <v>24</v>
      </c>
      <c r="D892" t="s">
        <v>1</v>
      </c>
      <c r="E892" t="s">
        <v>15</v>
      </c>
      <c r="F892" t="s">
        <v>20</v>
      </c>
    </row>
    <row r="893" spans="1:6" x14ac:dyDescent="0.3">
      <c r="A893">
        <v>892</v>
      </c>
      <c r="B893" t="s">
        <v>6</v>
      </c>
      <c r="C893" t="s">
        <v>24</v>
      </c>
      <c r="D893" t="s">
        <v>1</v>
      </c>
      <c r="E893" t="s">
        <v>26</v>
      </c>
      <c r="F893" t="s">
        <v>23</v>
      </c>
    </row>
    <row r="894" spans="1:6" x14ac:dyDescent="0.3">
      <c r="A894">
        <v>893</v>
      </c>
      <c r="B894" t="s">
        <v>14</v>
      </c>
      <c r="C894" t="s">
        <v>24</v>
      </c>
      <c r="D894" t="s">
        <v>1</v>
      </c>
      <c r="E894" t="s">
        <v>15</v>
      </c>
      <c r="F894" t="s">
        <v>20</v>
      </c>
    </row>
    <row r="895" spans="1:6" x14ac:dyDescent="0.3">
      <c r="A895">
        <v>894</v>
      </c>
      <c r="B895" t="s">
        <v>6</v>
      </c>
      <c r="C895" t="s">
        <v>7</v>
      </c>
      <c r="D895" t="s">
        <v>22</v>
      </c>
      <c r="E895" t="s">
        <v>9</v>
      </c>
      <c r="F895" t="s">
        <v>13</v>
      </c>
    </row>
    <row r="896" spans="1:6" x14ac:dyDescent="0.3">
      <c r="A896">
        <v>895</v>
      </c>
      <c r="B896" t="s">
        <v>11</v>
      </c>
      <c r="C896" t="s">
        <v>7</v>
      </c>
      <c r="D896" t="s">
        <v>1</v>
      </c>
      <c r="E896" t="s">
        <v>15</v>
      </c>
      <c r="F896" t="s">
        <v>23</v>
      </c>
    </row>
    <row r="897" spans="1:6" x14ac:dyDescent="0.3">
      <c r="A897">
        <v>896</v>
      </c>
      <c r="B897" t="s">
        <v>14</v>
      </c>
      <c r="C897" t="s">
        <v>7</v>
      </c>
      <c r="D897" t="s">
        <v>8</v>
      </c>
      <c r="E897" t="s">
        <v>9</v>
      </c>
      <c r="F897" t="s">
        <v>10</v>
      </c>
    </row>
    <row r="898" spans="1:6" x14ac:dyDescent="0.3">
      <c r="A898">
        <v>897</v>
      </c>
      <c r="B898" t="s">
        <v>18</v>
      </c>
      <c r="C898" t="s">
        <v>12</v>
      </c>
      <c r="D898" t="s">
        <v>22</v>
      </c>
      <c r="E898" t="s">
        <v>9</v>
      </c>
      <c r="F898" t="s">
        <v>10</v>
      </c>
    </row>
    <row r="899" spans="1:6" x14ac:dyDescent="0.3">
      <c r="A899">
        <v>898</v>
      </c>
      <c r="B899" t="s">
        <v>11</v>
      </c>
      <c r="C899" t="s">
        <v>24</v>
      </c>
      <c r="D899" t="s">
        <v>8</v>
      </c>
      <c r="E899" t="s">
        <v>15</v>
      </c>
      <c r="F899" t="s">
        <v>23</v>
      </c>
    </row>
    <row r="900" spans="1:6" x14ac:dyDescent="0.3">
      <c r="A900">
        <v>899</v>
      </c>
      <c r="B900" t="s">
        <v>25</v>
      </c>
      <c r="C900" t="s">
        <v>24</v>
      </c>
      <c r="D900" t="s">
        <v>1</v>
      </c>
      <c r="E900" t="s">
        <v>26</v>
      </c>
      <c r="F900" t="s">
        <v>13</v>
      </c>
    </row>
    <row r="901" spans="1:6" x14ac:dyDescent="0.3">
      <c r="A901">
        <v>900</v>
      </c>
      <c r="B901" t="s">
        <v>14</v>
      </c>
      <c r="C901" t="s">
        <v>12</v>
      </c>
      <c r="D901" t="s">
        <v>8</v>
      </c>
      <c r="E901" t="s">
        <v>9</v>
      </c>
      <c r="F901" t="s">
        <v>13</v>
      </c>
    </row>
    <row r="902" spans="1:6" x14ac:dyDescent="0.3">
      <c r="A902">
        <v>901</v>
      </c>
      <c r="B902" t="s">
        <v>25</v>
      </c>
      <c r="C902" t="s">
        <v>7</v>
      </c>
      <c r="D902" t="s">
        <v>8</v>
      </c>
      <c r="E902" t="s">
        <v>9</v>
      </c>
      <c r="F902" t="s">
        <v>23</v>
      </c>
    </row>
    <row r="903" spans="1:6" x14ac:dyDescent="0.3">
      <c r="A903">
        <v>902</v>
      </c>
      <c r="B903" t="s">
        <v>16</v>
      </c>
      <c r="C903" t="s">
        <v>7</v>
      </c>
      <c r="D903" t="s">
        <v>1</v>
      </c>
      <c r="E903" t="s">
        <v>9</v>
      </c>
      <c r="F903" t="s">
        <v>10</v>
      </c>
    </row>
    <row r="904" spans="1:6" x14ac:dyDescent="0.3">
      <c r="A904">
        <v>903</v>
      </c>
      <c r="B904" t="s">
        <v>18</v>
      </c>
      <c r="C904" t="s">
        <v>12</v>
      </c>
      <c r="D904" t="s">
        <v>8</v>
      </c>
      <c r="E904" t="s">
        <v>19</v>
      </c>
      <c r="F904" t="s">
        <v>10</v>
      </c>
    </row>
    <row r="905" spans="1:6" x14ac:dyDescent="0.3">
      <c r="A905">
        <v>904</v>
      </c>
      <c r="B905" t="s">
        <v>6</v>
      </c>
      <c r="C905" t="s">
        <v>12</v>
      </c>
      <c r="D905" t="s">
        <v>1</v>
      </c>
      <c r="E905" t="s">
        <v>21</v>
      </c>
      <c r="F905" t="s">
        <v>20</v>
      </c>
    </row>
    <row r="906" spans="1:6" x14ac:dyDescent="0.3">
      <c r="A906">
        <v>905</v>
      </c>
      <c r="B906" t="s">
        <v>16</v>
      </c>
      <c r="C906" t="s">
        <v>12</v>
      </c>
      <c r="D906" t="s">
        <v>8</v>
      </c>
      <c r="E906" t="s">
        <v>21</v>
      </c>
      <c r="F906" t="s">
        <v>20</v>
      </c>
    </row>
    <row r="907" spans="1:6" x14ac:dyDescent="0.3">
      <c r="A907">
        <v>906</v>
      </c>
      <c r="B907" t="s">
        <v>11</v>
      </c>
      <c r="C907" t="s">
        <v>12</v>
      </c>
      <c r="D907" t="s">
        <v>22</v>
      </c>
      <c r="E907" t="s">
        <v>9</v>
      </c>
      <c r="F907" t="s">
        <v>10</v>
      </c>
    </row>
    <row r="908" spans="1:6" x14ac:dyDescent="0.3">
      <c r="A908">
        <v>907</v>
      </c>
      <c r="B908" t="s">
        <v>18</v>
      </c>
      <c r="C908" t="s">
        <v>12</v>
      </c>
      <c r="D908" t="s">
        <v>22</v>
      </c>
      <c r="E908" t="s">
        <v>9</v>
      </c>
      <c r="F908" t="s">
        <v>13</v>
      </c>
    </row>
    <row r="909" spans="1:6" x14ac:dyDescent="0.3">
      <c r="A909">
        <v>908</v>
      </c>
      <c r="B909" t="s">
        <v>14</v>
      </c>
      <c r="C909" t="s">
        <v>12</v>
      </c>
      <c r="D909" t="s">
        <v>22</v>
      </c>
      <c r="E909" t="s">
        <v>15</v>
      </c>
      <c r="F909" t="s">
        <v>23</v>
      </c>
    </row>
    <row r="910" spans="1:6" x14ac:dyDescent="0.3">
      <c r="A910">
        <v>909</v>
      </c>
      <c r="B910" t="s">
        <v>25</v>
      </c>
      <c r="C910" t="s">
        <v>12</v>
      </c>
      <c r="D910" t="s">
        <v>22</v>
      </c>
      <c r="E910" t="s">
        <v>9</v>
      </c>
      <c r="F910" t="s">
        <v>10</v>
      </c>
    </row>
    <row r="911" spans="1:6" x14ac:dyDescent="0.3">
      <c r="A911">
        <v>910</v>
      </c>
      <c r="B911" t="s">
        <v>14</v>
      </c>
      <c r="C911" t="s">
        <v>24</v>
      </c>
      <c r="D911" t="s">
        <v>22</v>
      </c>
      <c r="E911" t="s">
        <v>15</v>
      </c>
      <c r="F911" t="s">
        <v>20</v>
      </c>
    </row>
    <row r="912" spans="1:6" x14ac:dyDescent="0.3">
      <c r="A912">
        <v>911</v>
      </c>
      <c r="B912" t="s">
        <v>25</v>
      </c>
      <c r="C912" t="s">
        <v>7</v>
      </c>
      <c r="D912" t="s">
        <v>22</v>
      </c>
      <c r="E912" t="s">
        <v>15</v>
      </c>
      <c r="F912" t="s">
        <v>23</v>
      </c>
    </row>
    <row r="913" spans="1:6" x14ac:dyDescent="0.3">
      <c r="A913">
        <v>912</v>
      </c>
      <c r="B913" t="s">
        <v>25</v>
      </c>
      <c r="C913" t="s">
        <v>24</v>
      </c>
      <c r="D913" t="s">
        <v>8</v>
      </c>
      <c r="E913" t="s">
        <v>26</v>
      </c>
      <c r="F913" t="s">
        <v>23</v>
      </c>
    </row>
    <row r="914" spans="1:6" x14ac:dyDescent="0.3">
      <c r="A914">
        <v>913</v>
      </c>
      <c r="B914" t="s">
        <v>11</v>
      </c>
      <c r="C914" t="s">
        <v>7</v>
      </c>
      <c r="D914" t="s">
        <v>1</v>
      </c>
      <c r="E914" t="s">
        <v>15</v>
      </c>
      <c r="F914" t="s">
        <v>23</v>
      </c>
    </row>
    <row r="915" spans="1:6" x14ac:dyDescent="0.3">
      <c r="A915">
        <v>914</v>
      </c>
      <c r="B915" t="s">
        <v>11</v>
      </c>
      <c r="C915" t="s">
        <v>7</v>
      </c>
      <c r="D915" t="s">
        <v>8</v>
      </c>
      <c r="E915" t="s">
        <v>9</v>
      </c>
      <c r="F915" t="s">
        <v>13</v>
      </c>
    </row>
    <row r="916" spans="1:6" x14ac:dyDescent="0.3">
      <c r="A916">
        <v>915</v>
      </c>
      <c r="B916" t="s">
        <v>14</v>
      </c>
      <c r="C916" t="s">
        <v>7</v>
      </c>
      <c r="D916" t="s">
        <v>8</v>
      </c>
      <c r="E916" t="s">
        <v>9</v>
      </c>
      <c r="F916" t="s">
        <v>10</v>
      </c>
    </row>
    <row r="917" spans="1:6" x14ac:dyDescent="0.3">
      <c r="A917">
        <v>916</v>
      </c>
      <c r="B917" t="s">
        <v>18</v>
      </c>
      <c r="C917" t="s">
        <v>7</v>
      </c>
      <c r="D917" t="s">
        <v>22</v>
      </c>
      <c r="E917" t="s">
        <v>19</v>
      </c>
      <c r="F917" t="s">
        <v>10</v>
      </c>
    </row>
    <row r="918" spans="1:6" x14ac:dyDescent="0.3">
      <c r="A918">
        <v>917</v>
      </c>
      <c r="B918" t="s">
        <v>16</v>
      </c>
      <c r="C918" t="s">
        <v>7</v>
      </c>
      <c r="D918" t="s">
        <v>8</v>
      </c>
      <c r="E918" t="s">
        <v>9</v>
      </c>
      <c r="F918" t="s">
        <v>20</v>
      </c>
    </row>
    <row r="919" spans="1:6" x14ac:dyDescent="0.3">
      <c r="A919">
        <v>918</v>
      </c>
      <c r="B919" t="s">
        <v>16</v>
      </c>
      <c r="C919" t="s">
        <v>24</v>
      </c>
      <c r="D919" t="s">
        <v>22</v>
      </c>
      <c r="E919" t="s">
        <v>15</v>
      </c>
      <c r="F919" t="s">
        <v>13</v>
      </c>
    </row>
    <row r="920" spans="1:6" x14ac:dyDescent="0.3">
      <c r="A920">
        <v>919</v>
      </c>
      <c r="B920" t="s">
        <v>14</v>
      </c>
      <c r="C920" t="s">
        <v>12</v>
      </c>
      <c r="D920" t="s">
        <v>8</v>
      </c>
      <c r="E920" t="s">
        <v>21</v>
      </c>
      <c r="F920" t="s">
        <v>20</v>
      </c>
    </row>
    <row r="921" spans="1:6" x14ac:dyDescent="0.3">
      <c r="A921">
        <v>920</v>
      </c>
      <c r="B921" t="s">
        <v>16</v>
      </c>
      <c r="C921" t="s">
        <v>12</v>
      </c>
      <c r="D921" t="s">
        <v>22</v>
      </c>
      <c r="E921" t="s">
        <v>15</v>
      </c>
      <c r="F921" t="s">
        <v>20</v>
      </c>
    </row>
    <row r="922" spans="1:6" x14ac:dyDescent="0.3">
      <c r="A922">
        <v>921</v>
      </c>
      <c r="B922" t="s">
        <v>14</v>
      </c>
      <c r="C922" t="s">
        <v>12</v>
      </c>
      <c r="D922" t="s">
        <v>1</v>
      </c>
      <c r="E922" t="s">
        <v>9</v>
      </c>
      <c r="F922" t="s">
        <v>23</v>
      </c>
    </row>
    <row r="923" spans="1:6" x14ac:dyDescent="0.3">
      <c r="A923">
        <v>922</v>
      </c>
      <c r="B923" t="s">
        <v>11</v>
      </c>
      <c r="C923" t="s">
        <v>12</v>
      </c>
      <c r="D923" t="s">
        <v>1</v>
      </c>
      <c r="E923" t="s">
        <v>9</v>
      </c>
      <c r="F923" t="s">
        <v>20</v>
      </c>
    </row>
    <row r="924" spans="1:6" x14ac:dyDescent="0.3">
      <c r="A924">
        <v>923</v>
      </c>
      <c r="B924" t="s">
        <v>25</v>
      </c>
      <c r="C924" t="s">
        <v>12</v>
      </c>
      <c r="D924" t="s">
        <v>22</v>
      </c>
      <c r="E924" t="s">
        <v>19</v>
      </c>
      <c r="F924" t="s">
        <v>10</v>
      </c>
    </row>
    <row r="925" spans="1:6" x14ac:dyDescent="0.3">
      <c r="A925">
        <v>924</v>
      </c>
      <c r="B925" t="s">
        <v>14</v>
      </c>
      <c r="C925" t="s">
        <v>12</v>
      </c>
      <c r="D925" t="s">
        <v>8</v>
      </c>
      <c r="E925" t="s">
        <v>21</v>
      </c>
      <c r="F925" t="s">
        <v>10</v>
      </c>
    </row>
    <row r="926" spans="1:6" x14ac:dyDescent="0.3">
      <c r="A926">
        <v>925</v>
      </c>
      <c r="B926" t="s">
        <v>18</v>
      </c>
      <c r="C926" t="s">
        <v>7</v>
      </c>
      <c r="D926" t="s">
        <v>22</v>
      </c>
      <c r="E926" t="s">
        <v>21</v>
      </c>
      <c r="F926" t="s">
        <v>23</v>
      </c>
    </row>
    <row r="927" spans="1:6" x14ac:dyDescent="0.3">
      <c r="A927">
        <v>926</v>
      </c>
      <c r="B927" t="s">
        <v>25</v>
      </c>
      <c r="C927" t="s">
        <v>12</v>
      </c>
      <c r="D927" t="s">
        <v>8</v>
      </c>
      <c r="E927" t="s">
        <v>9</v>
      </c>
      <c r="F927" t="s">
        <v>13</v>
      </c>
    </row>
    <row r="928" spans="1:6" x14ac:dyDescent="0.3">
      <c r="A928">
        <v>927</v>
      </c>
      <c r="B928" t="s">
        <v>6</v>
      </c>
      <c r="C928" t="s">
        <v>7</v>
      </c>
      <c r="D928" t="s">
        <v>8</v>
      </c>
      <c r="E928" t="s">
        <v>9</v>
      </c>
      <c r="F928" t="s">
        <v>10</v>
      </c>
    </row>
    <row r="929" spans="1:6" x14ac:dyDescent="0.3">
      <c r="A929">
        <v>928</v>
      </c>
      <c r="B929" t="s">
        <v>11</v>
      </c>
      <c r="C929" t="s">
        <v>12</v>
      </c>
      <c r="D929" t="s">
        <v>1</v>
      </c>
      <c r="E929" t="s">
        <v>15</v>
      </c>
      <c r="F929" t="s">
        <v>13</v>
      </c>
    </row>
    <row r="930" spans="1:6" x14ac:dyDescent="0.3">
      <c r="A930">
        <v>929</v>
      </c>
      <c r="B930" t="s">
        <v>11</v>
      </c>
      <c r="C930" t="s">
        <v>7</v>
      </c>
      <c r="D930" t="s">
        <v>8</v>
      </c>
      <c r="E930" t="s">
        <v>9</v>
      </c>
      <c r="F930" t="s">
        <v>23</v>
      </c>
    </row>
    <row r="931" spans="1:6" x14ac:dyDescent="0.3">
      <c r="A931">
        <v>930</v>
      </c>
      <c r="B931" t="s">
        <v>25</v>
      </c>
      <c r="C931" t="s">
        <v>7</v>
      </c>
      <c r="D931" t="s">
        <v>8</v>
      </c>
      <c r="E931" t="s">
        <v>9</v>
      </c>
      <c r="F931" t="s">
        <v>13</v>
      </c>
    </row>
    <row r="932" spans="1:6" x14ac:dyDescent="0.3">
      <c r="A932">
        <v>931</v>
      </c>
      <c r="B932" t="s">
        <v>14</v>
      </c>
      <c r="C932" t="s">
        <v>24</v>
      </c>
      <c r="D932" t="s">
        <v>8</v>
      </c>
      <c r="E932" t="s">
        <v>26</v>
      </c>
      <c r="F932" t="s">
        <v>20</v>
      </c>
    </row>
    <row r="933" spans="1:6" x14ac:dyDescent="0.3">
      <c r="A933">
        <v>932</v>
      </c>
      <c r="B933" t="s">
        <v>14</v>
      </c>
      <c r="C933" t="s">
        <v>24</v>
      </c>
      <c r="D933" t="s">
        <v>22</v>
      </c>
      <c r="E933" t="s">
        <v>26</v>
      </c>
      <c r="F933" t="s">
        <v>23</v>
      </c>
    </row>
    <row r="934" spans="1:6" x14ac:dyDescent="0.3">
      <c r="A934">
        <v>933</v>
      </c>
      <c r="B934" t="s">
        <v>11</v>
      </c>
      <c r="C934" t="s">
        <v>7</v>
      </c>
      <c r="D934" t="s">
        <v>8</v>
      </c>
      <c r="E934" t="s">
        <v>9</v>
      </c>
      <c r="F934" t="s">
        <v>23</v>
      </c>
    </row>
    <row r="935" spans="1:6" x14ac:dyDescent="0.3">
      <c r="A935">
        <v>934</v>
      </c>
      <c r="B935" t="s">
        <v>16</v>
      </c>
      <c r="C935" t="s">
        <v>7</v>
      </c>
      <c r="D935" t="s">
        <v>8</v>
      </c>
      <c r="E935" t="s">
        <v>9</v>
      </c>
      <c r="F935" t="s">
        <v>23</v>
      </c>
    </row>
    <row r="936" spans="1:6" x14ac:dyDescent="0.3">
      <c r="A936">
        <v>935</v>
      </c>
      <c r="B936" t="s">
        <v>6</v>
      </c>
      <c r="C936" t="s">
        <v>7</v>
      </c>
      <c r="D936" t="s">
        <v>8</v>
      </c>
      <c r="E936" t="s">
        <v>9</v>
      </c>
      <c r="F936" t="s">
        <v>20</v>
      </c>
    </row>
    <row r="937" spans="1:6" x14ac:dyDescent="0.3">
      <c r="A937">
        <v>936</v>
      </c>
      <c r="B937" t="s">
        <v>16</v>
      </c>
      <c r="C937" t="s">
        <v>7</v>
      </c>
      <c r="D937" t="s">
        <v>8</v>
      </c>
      <c r="E937" t="s">
        <v>9</v>
      </c>
      <c r="F937" t="s">
        <v>10</v>
      </c>
    </row>
    <row r="938" spans="1:6" x14ac:dyDescent="0.3">
      <c r="A938">
        <v>937</v>
      </c>
      <c r="B938" t="s">
        <v>18</v>
      </c>
      <c r="C938" t="s">
        <v>12</v>
      </c>
      <c r="D938" t="s">
        <v>8</v>
      </c>
      <c r="E938" t="s">
        <v>19</v>
      </c>
      <c r="F938" t="s">
        <v>13</v>
      </c>
    </row>
    <row r="939" spans="1:6" x14ac:dyDescent="0.3">
      <c r="A939">
        <v>938</v>
      </c>
      <c r="B939" t="s">
        <v>18</v>
      </c>
      <c r="C939" t="s">
        <v>12</v>
      </c>
      <c r="D939" t="s">
        <v>1</v>
      </c>
      <c r="E939" t="s">
        <v>21</v>
      </c>
      <c r="F939" t="s">
        <v>20</v>
      </c>
    </row>
    <row r="940" spans="1:6" x14ac:dyDescent="0.3">
      <c r="A940">
        <v>939</v>
      </c>
      <c r="B940" t="s">
        <v>6</v>
      </c>
      <c r="C940" t="s">
        <v>12</v>
      </c>
      <c r="D940" t="s">
        <v>8</v>
      </c>
      <c r="E940" t="s">
        <v>9</v>
      </c>
      <c r="F940" t="s">
        <v>10</v>
      </c>
    </row>
    <row r="941" spans="1:6" x14ac:dyDescent="0.3">
      <c r="A941">
        <v>940</v>
      </c>
      <c r="B941" t="s">
        <v>18</v>
      </c>
      <c r="C941" t="s">
        <v>12</v>
      </c>
      <c r="D941" t="s">
        <v>8</v>
      </c>
      <c r="E941" t="s">
        <v>19</v>
      </c>
      <c r="F941" t="s">
        <v>10</v>
      </c>
    </row>
    <row r="942" spans="1:6" x14ac:dyDescent="0.3">
      <c r="A942">
        <v>941</v>
      </c>
      <c r="B942" t="s">
        <v>25</v>
      </c>
      <c r="C942" t="s">
        <v>7</v>
      </c>
      <c r="D942" t="s">
        <v>8</v>
      </c>
      <c r="E942" t="s">
        <v>9</v>
      </c>
      <c r="F942" t="s">
        <v>20</v>
      </c>
    </row>
    <row r="943" spans="1:6" x14ac:dyDescent="0.3">
      <c r="A943">
        <v>942</v>
      </c>
      <c r="B943" t="s">
        <v>25</v>
      </c>
      <c r="C943" t="s">
        <v>7</v>
      </c>
      <c r="D943" t="s">
        <v>8</v>
      </c>
      <c r="E943" t="s">
        <v>9</v>
      </c>
      <c r="F943" t="s">
        <v>20</v>
      </c>
    </row>
    <row r="944" spans="1:6" x14ac:dyDescent="0.3">
      <c r="A944">
        <v>943</v>
      </c>
      <c r="B944" t="s">
        <v>6</v>
      </c>
      <c r="C944" t="s">
        <v>7</v>
      </c>
      <c r="D944" t="s">
        <v>8</v>
      </c>
      <c r="E944" t="s">
        <v>9</v>
      </c>
      <c r="F944" t="s">
        <v>23</v>
      </c>
    </row>
    <row r="945" spans="1:6" x14ac:dyDescent="0.3">
      <c r="A945">
        <v>944</v>
      </c>
      <c r="B945" t="s">
        <v>14</v>
      </c>
      <c r="C945" t="s">
        <v>12</v>
      </c>
      <c r="D945" t="s">
        <v>8</v>
      </c>
      <c r="E945" t="s">
        <v>21</v>
      </c>
      <c r="F945" t="s">
        <v>20</v>
      </c>
    </row>
    <row r="946" spans="1:6" x14ac:dyDescent="0.3">
      <c r="A946">
        <v>945</v>
      </c>
      <c r="B946" t="s">
        <v>16</v>
      </c>
      <c r="C946" t="s">
        <v>24</v>
      </c>
      <c r="D946" t="s">
        <v>1</v>
      </c>
      <c r="E946" t="s">
        <v>15</v>
      </c>
      <c r="F946" t="s">
        <v>23</v>
      </c>
    </row>
    <row r="947" spans="1:6" x14ac:dyDescent="0.3">
      <c r="A947">
        <v>946</v>
      </c>
      <c r="B947" t="s">
        <v>6</v>
      </c>
      <c r="C947" t="s">
        <v>7</v>
      </c>
      <c r="D947" t="s">
        <v>22</v>
      </c>
      <c r="E947" t="s">
        <v>9</v>
      </c>
      <c r="F947" t="s">
        <v>23</v>
      </c>
    </row>
    <row r="948" spans="1:6" x14ac:dyDescent="0.3">
      <c r="A948">
        <v>947</v>
      </c>
      <c r="B948" t="s">
        <v>14</v>
      </c>
      <c r="C948" t="s">
        <v>12</v>
      </c>
      <c r="D948" t="s">
        <v>1</v>
      </c>
      <c r="E948" t="s">
        <v>15</v>
      </c>
      <c r="F948" t="s">
        <v>20</v>
      </c>
    </row>
    <row r="949" spans="1:6" x14ac:dyDescent="0.3">
      <c r="A949">
        <v>948</v>
      </c>
      <c r="B949" t="s">
        <v>14</v>
      </c>
      <c r="C949" t="s">
        <v>7</v>
      </c>
      <c r="D949" t="s">
        <v>22</v>
      </c>
      <c r="E949" t="s">
        <v>15</v>
      </c>
      <c r="F949" t="s">
        <v>13</v>
      </c>
    </row>
    <row r="950" spans="1:6" x14ac:dyDescent="0.3">
      <c r="A950">
        <v>949</v>
      </c>
      <c r="B950" t="s">
        <v>18</v>
      </c>
      <c r="C950" t="s">
        <v>12</v>
      </c>
      <c r="D950" t="s">
        <v>1</v>
      </c>
      <c r="E950" t="s">
        <v>21</v>
      </c>
      <c r="F950" t="s">
        <v>13</v>
      </c>
    </row>
    <row r="951" spans="1:6" x14ac:dyDescent="0.3">
      <c r="A951">
        <v>950</v>
      </c>
      <c r="B951" t="s">
        <v>11</v>
      </c>
      <c r="C951" t="s">
        <v>12</v>
      </c>
      <c r="D951" t="s">
        <v>22</v>
      </c>
      <c r="E951" t="s">
        <v>21</v>
      </c>
      <c r="F951" t="s">
        <v>20</v>
      </c>
    </row>
    <row r="952" spans="1:6" x14ac:dyDescent="0.3">
      <c r="A952">
        <v>951</v>
      </c>
      <c r="B952" t="s">
        <v>6</v>
      </c>
      <c r="C952" t="s">
        <v>7</v>
      </c>
      <c r="D952" t="s">
        <v>8</v>
      </c>
      <c r="E952" t="s">
        <v>9</v>
      </c>
      <c r="F952" t="s">
        <v>23</v>
      </c>
    </row>
    <row r="953" spans="1:6" x14ac:dyDescent="0.3">
      <c r="A953">
        <v>952</v>
      </c>
      <c r="B953" t="s">
        <v>6</v>
      </c>
      <c r="C953" t="s">
        <v>12</v>
      </c>
      <c r="D953" t="s">
        <v>1</v>
      </c>
      <c r="E953" t="s">
        <v>21</v>
      </c>
      <c r="F953" t="s">
        <v>10</v>
      </c>
    </row>
    <row r="954" spans="1:6" x14ac:dyDescent="0.3">
      <c r="A954">
        <v>953</v>
      </c>
      <c r="B954" t="s">
        <v>25</v>
      </c>
      <c r="C954" t="s">
        <v>12</v>
      </c>
      <c r="D954" t="s">
        <v>8</v>
      </c>
      <c r="E954" t="s">
        <v>21</v>
      </c>
      <c r="F954" t="s">
        <v>13</v>
      </c>
    </row>
    <row r="955" spans="1:6" x14ac:dyDescent="0.3">
      <c r="A955">
        <v>954</v>
      </c>
      <c r="B955" t="s">
        <v>16</v>
      </c>
      <c r="C955" t="s">
        <v>12</v>
      </c>
      <c r="D955" t="s">
        <v>8</v>
      </c>
      <c r="E955" t="s">
        <v>15</v>
      </c>
      <c r="F955" t="s">
        <v>20</v>
      </c>
    </row>
    <row r="956" spans="1:6" x14ac:dyDescent="0.3">
      <c r="A956">
        <v>955</v>
      </c>
      <c r="B956" t="s">
        <v>16</v>
      </c>
      <c r="C956" t="s">
        <v>7</v>
      </c>
      <c r="D956" t="s">
        <v>8</v>
      </c>
      <c r="E956" t="s">
        <v>9</v>
      </c>
      <c r="F956" t="s">
        <v>10</v>
      </c>
    </row>
    <row r="957" spans="1:6" x14ac:dyDescent="0.3">
      <c r="A957">
        <v>956</v>
      </c>
      <c r="B957" t="s">
        <v>16</v>
      </c>
      <c r="C957" t="s">
        <v>7</v>
      </c>
      <c r="D957" t="s">
        <v>1</v>
      </c>
      <c r="E957" t="s">
        <v>21</v>
      </c>
      <c r="F957" t="s">
        <v>10</v>
      </c>
    </row>
    <row r="958" spans="1:6" x14ac:dyDescent="0.3">
      <c r="A958">
        <v>957</v>
      </c>
      <c r="B958" t="s">
        <v>14</v>
      </c>
      <c r="C958" t="s">
        <v>24</v>
      </c>
      <c r="D958" t="s">
        <v>1</v>
      </c>
      <c r="E958" t="s">
        <v>15</v>
      </c>
      <c r="F958" t="s">
        <v>13</v>
      </c>
    </row>
    <row r="959" spans="1:6" x14ac:dyDescent="0.3">
      <c r="A959">
        <v>958</v>
      </c>
      <c r="B959" t="s">
        <v>11</v>
      </c>
      <c r="C959" t="s">
        <v>24</v>
      </c>
      <c r="D959" t="s">
        <v>22</v>
      </c>
      <c r="E959" t="s">
        <v>26</v>
      </c>
      <c r="F959" t="s">
        <v>13</v>
      </c>
    </row>
    <row r="960" spans="1:6" x14ac:dyDescent="0.3">
      <c r="A960">
        <v>959</v>
      </c>
      <c r="B960" t="s">
        <v>16</v>
      </c>
      <c r="C960" t="s">
        <v>7</v>
      </c>
      <c r="D960" t="s">
        <v>22</v>
      </c>
      <c r="E960" t="s">
        <v>21</v>
      </c>
      <c r="F960" t="s">
        <v>10</v>
      </c>
    </row>
    <row r="961" spans="1:6" x14ac:dyDescent="0.3">
      <c r="A961">
        <v>960</v>
      </c>
      <c r="B961" t="s">
        <v>14</v>
      </c>
      <c r="C961" t="s">
        <v>7</v>
      </c>
      <c r="D961" t="s">
        <v>8</v>
      </c>
      <c r="E961" t="s">
        <v>9</v>
      </c>
      <c r="F961" t="s">
        <v>23</v>
      </c>
    </row>
    <row r="962" spans="1:6" x14ac:dyDescent="0.3">
      <c r="A962">
        <v>961</v>
      </c>
      <c r="B962" t="s">
        <v>11</v>
      </c>
      <c r="C962" t="s">
        <v>12</v>
      </c>
      <c r="D962" t="s">
        <v>22</v>
      </c>
      <c r="E962" t="s">
        <v>9</v>
      </c>
      <c r="F962" t="s">
        <v>20</v>
      </c>
    </row>
    <row r="963" spans="1:6" x14ac:dyDescent="0.3">
      <c r="A963">
        <v>962</v>
      </c>
      <c r="B963" t="s">
        <v>18</v>
      </c>
      <c r="C963" t="s">
        <v>7</v>
      </c>
      <c r="D963" t="s">
        <v>8</v>
      </c>
      <c r="E963" t="s">
        <v>19</v>
      </c>
      <c r="F963" t="s">
        <v>10</v>
      </c>
    </row>
    <row r="964" spans="1:6" x14ac:dyDescent="0.3">
      <c r="A964">
        <v>963</v>
      </c>
      <c r="B964" t="s">
        <v>14</v>
      </c>
      <c r="C964" t="s">
        <v>7</v>
      </c>
      <c r="D964" t="s">
        <v>1</v>
      </c>
      <c r="E964" t="s">
        <v>21</v>
      </c>
      <c r="F964" t="s">
        <v>13</v>
      </c>
    </row>
    <row r="965" spans="1:6" x14ac:dyDescent="0.3">
      <c r="A965">
        <v>964</v>
      </c>
      <c r="B965" t="s">
        <v>18</v>
      </c>
      <c r="C965" t="s">
        <v>12</v>
      </c>
      <c r="D965" t="s">
        <v>8</v>
      </c>
      <c r="E965" t="s">
        <v>19</v>
      </c>
      <c r="F965" t="s">
        <v>13</v>
      </c>
    </row>
    <row r="966" spans="1:6" x14ac:dyDescent="0.3">
      <c r="A966">
        <v>965</v>
      </c>
      <c r="B966" t="s">
        <v>18</v>
      </c>
      <c r="C966" t="s">
        <v>12</v>
      </c>
      <c r="D966" t="s">
        <v>8</v>
      </c>
      <c r="E966" t="s">
        <v>21</v>
      </c>
      <c r="F966" t="s">
        <v>23</v>
      </c>
    </row>
    <row r="967" spans="1:6" x14ac:dyDescent="0.3">
      <c r="A967">
        <v>966</v>
      </c>
      <c r="B967" t="s">
        <v>18</v>
      </c>
      <c r="C967" t="s">
        <v>12</v>
      </c>
      <c r="D967" t="s">
        <v>8</v>
      </c>
      <c r="E967" t="s">
        <v>19</v>
      </c>
      <c r="F967" t="s">
        <v>13</v>
      </c>
    </row>
    <row r="968" spans="1:6" x14ac:dyDescent="0.3">
      <c r="A968">
        <v>967</v>
      </c>
      <c r="B968" t="s">
        <v>6</v>
      </c>
      <c r="C968" t="s">
        <v>7</v>
      </c>
      <c r="D968" t="s">
        <v>8</v>
      </c>
      <c r="E968" t="s">
        <v>21</v>
      </c>
      <c r="F968" t="s">
        <v>20</v>
      </c>
    </row>
    <row r="969" spans="1:6" x14ac:dyDescent="0.3">
      <c r="A969">
        <v>968</v>
      </c>
      <c r="B969" t="s">
        <v>14</v>
      </c>
      <c r="C969" t="s">
        <v>7</v>
      </c>
      <c r="D969" t="s">
        <v>1</v>
      </c>
      <c r="E969" t="s">
        <v>9</v>
      </c>
      <c r="F969" t="s">
        <v>10</v>
      </c>
    </row>
    <row r="970" spans="1:6" x14ac:dyDescent="0.3">
      <c r="A970">
        <v>969</v>
      </c>
      <c r="B970" t="s">
        <v>25</v>
      </c>
      <c r="C970" t="s">
        <v>7</v>
      </c>
      <c r="D970" t="s">
        <v>8</v>
      </c>
      <c r="E970" t="s">
        <v>9</v>
      </c>
      <c r="F970" t="s">
        <v>13</v>
      </c>
    </row>
    <row r="971" spans="1:6" x14ac:dyDescent="0.3">
      <c r="A971">
        <v>970</v>
      </c>
      <c r="B971" t="s">
        <v>25</v>
      </c>
      <c r="C971" t="s">
        <v>12</v>
      </c>
      <c r="D971" t="s">
        <v>8</v>
      </c>
      <c r="E971" t="s">
        <v>9</v>
      </c>
      <c r="F971" t="s">
        <v>23</v>
      </c>
    </row>
    <row r="972" spans="1:6" x14ac:dyDescent="0.3">
      <c r="A972">
        <v>971</v>
      </c>
      <c r="B972" t="s">
        <v>16</v>
      </c>
      <c r="C972" t="s">
        <v>7</v>
      </c>
      <c r="D972" t="s">
        <v>8</v>
      </c>
      <c r="E972" t="s">
        <v>19</v>
      </c>
      <c r="F972" t="s">
        <v>10</v>
      </c>
    </row>
    <row r="973" spans="1:6" x14ac:dyDescent="0.3">
      <c r="A973">
        <v>972</v>
      </c>
      <c r="B973" t="s">
        <v>18</v>
      </c>
      <c r="C973" t="s">
        <v>7</v>
      </c>
      <c r="D973" t="s">
        <v>8</v>
      </c>
      <c r="E973" t="s">
        <v>19</v>
      </c>
      <c r="F973" t="s">
        <v>10</v>
      </c>
    </row>
    <row r="974" spans="1:6" x14ac:dyDescent="0.3">
      <c r="A974">
        <v>973</v>
      </c>
      <c r="B974" t="s">
        <v>25</v>
      </c>
      <c r="C974" t="s">
        <v>12</v>
      </c>
      <c r="D974" t="s">
        <v>1</v>
      </c>
      <c r="E974" t="s">
        <v>21</v>
      </c>
      <c r="F974" t="s">
        <v>10</v>
      </c>
    </row>
    <row r="975" spans="1:6" x14ac:dyDescent="0.3">
      <c r="A975">
        <v>974</v>
      </c>
      <c r="B975" t="s">
        <v>16</v>
      </c>
      <c r="C975" t="s">
        <v>7</v>
      </c>
      <c r="D975" t="s">
        <v>22</v>
      </c>
      <c r="E975" t="s">
        <v>21</v>
      </c>
      <c r="F975" t="s">
        <v>23</v>
      </c>
    </row>
    <row r="976" spans="1:6" x14ac:dyDescent="0.3">
      <c r="A976">
        <v>975</v>
      </c>
      <c r="B976" t="s">
        <v>11</v>
      </c>
      <c r="C976" t="s">
        <v>24</v>
      </c>
      <c r="D976" t="s">
        <v>1</v>
      </c>
      <c r="E976" t="s">
        <v>26</v>
      </c>
      <c r="F976" t="s">
        <v>10</v>
      </c>
    </row>
    <row r="977" spans="1:6" x14ac:dyDescent="0.3">
      <c r="A977">
        <v>976</v>
      </c>
      <c r="B977" t="s">
        <v>25</v>
      </c>
      <c r="C977" t="s">
        <v>12</v>
      </c>
      <c r="D977" t="s">
        <v>8</v>
      </c>
      <c r="E977" t="s">
        <v>9</v>
      </c>
      <c r="F977" t="s">
        <v>10</v>
      </c>
    </row>
    <row r="978" spans="1:6" x14ac:dyDescent="0.3">
      <c r="A978">
        <v>977</v>
      </c>
      <c r="B978" t="s">
        <v>18</v>
      </c>
      <c r="C978" t="s">
        <v>7</v>
      </c>
      <c r="D978" t="s">
        <v>1</v>
      </c>
      <c r="E978" t="s">
        <v>9</v>
      </c>
      <c r="F978" t="s">
        <v>23</v>
      </c>
    </row>
    <row r="979" spans="1:6" x14ac:dyDescent="0.3">
      <c r="A979">
        <v>978</v>
      </c>
      <c r="B979" t="s">
        <v>16</v>
      </c>
      <c r="C979" t="s">
        <v>12</v>
      </c>
      <c r="D979" t="s">
        <v>8</v>
      </c>
      <c r="E979" t="s">
        <v>21</v>
      </c>
      <c r="F979" t="s">
        <v>20</v>
      </c>
    </row>
    <row r="980" spans="1:6" x14ac:dyDescent="0.3">
      <c r="A980">
        <v>979</v>
      </c>
      <c r="B980" t="s">
        <v>14</v>
      </c>
      <c r="C980" t="s">
        <v>12</v>
      </c>
      <c r="D980" t="s">
        <v>8</v>
      </c>
      <c r="E980" t="s">
        <v>9</v>
      </c>
      <c r="F980" t="s">
        <v>10</v>
      </c>
    </row>
    <row r="981" spans="1:6" x14ac:dyDescent="0.3">
      <c r="A981">
        <v>980</v>
      </c>
      <c r="B981" t="s">
        <v>14</v>
      </c>
      <c r="C981" t="s">
        <v>12</v>
      </c>
      <c r="D981" t="s">
        <v>8</v>
      </c>
      <c r="E981" t="s">
        <v>9</v>
      </c>
      <c r="F981" t="s">
        <v>10</v>
      </c>
    </row>
    <row r="982" spans="1:6" x14ac:dyDescent="0.3">
      <c r="A982">
        <v>981</v>
      </c>
      <c r="B982" t="s">
        <v>6</v>
      </c>
      <c r="C982" t="s">
        <v>12</v>
      </c>
      <c r="D982" t="s">
        <v>1</v>
      </c>
      <c r="E982" t="s">
        <v>9</v>
      </c>
      <c r="F982" t="s">
        <v>10</v>
      </c>
    </row>
    <row r="983" spans="1:6" x14ac:dyDescent="0.3">
      <c r="A983">
        <v>982</v>
      </c>
      <c r="B983" t="s">
        <v>14</v>
      </c>
      <c r="C983" t="s">
        <v>7</v>
      </c>
      <c r="D983" t="s">
        <v>8</v>
      </c>
      <c r="E983" t="s">
        <v>15</v>
      </c>
      <c r="F983" t="s">
        <v>23</v>
      </c>
    </row>
    <row r="984" spans="1:6" x14ac:dyDescent="0.3">
      <c r="A984">
        <v>983</v>
      </c>
      <c r="B984" t="s">
        <v>11</v>
      </c>
      <c r="C984" t="s">
        <v>12</v>
      </c>
      <c r="D984" t="s">
        <v>22</v>
      </c>
      <c r="E984" t="s">
        <v>21</v>
      </c>
      <c r="F984" t="s">
        <v>20</v>
      </c>
    </row>
    <row r="985" spans="1:6" x14ac:dyDescent="0.3">
      <c r="A985">
        <v>984</v>
      </c>
      <c r="B985" t="s">
        <v>18</v>
      </c>
      <c r="C985" t="s">
        <v>7</v>
      </c>
      <c r="D985" t="s">
        <v>8</v>
      </c>
      <c r="E985" t="s">
        <v>21</v>
      </c>
      <c r="F985" t="s">
        <v>23</v>
      </c>
    </row>
    <row r="986" spans="1:6" x14ac:dyDescent="0.3">
      <c r="A986">
        <v>985</v>
      </c>
      <c r="B986" t="s">
        <v>18</v>
      </c>
      <c r="C986" t="s">
        <v>7</v>
      </c>
      <c r="D986" t="s">
        <v>8</v>
      </c>
      <c r="E986" t="s">
        <v>19</v>
      </c>
      <c r="F986" t="s">
        <v>20</v>
      </c>
    </row>
    <row r="987" spans="1:6" x14ac:dyDescent="0.3">
      <c r="A987">
        <v>986</v>
      </c>
      <c r="B987" t="s">
        <v>25</v>
      </c>
      <c r="C987" t="s">
        <v>7</v>
      </c>
      <c r="D987" t="s">
        <v>8</v>
      </c>
      <c r="E987" t="s">
        <v>9</v>
      </c>
      <c r="F987" t="s">
        <v>20</v>
      </c>
    </row>
    <row r="988" spans="1:6" x14ac:dyDescent="0.3">
      <c r="A988">
        <v>987</v>
      </c>
      <c r="B988" t="s">
        <v>6</v>
      </c>
      <c r="C988" t="s">
        <v>12</v>
      </c>
      <c r="D988" t="s">
        <v>1</v>
      </c>
      <c r="E988" t="s">
        <v>21</v>
      </c>
      <c r="F988" t="s">
        <v>13</v>
      </c>
    </row>
    <row r="989" spans="1:6" x14ac:dyDescent="0.3">
      <c r="A989">
        <v>988</v>
      </c>
      <c r="B989" t="s">
        <v>6</v>
      </c>
      <c r="C989" t="s">
        <v>12</v>
      </c>
      <c r="D989" t="s">
        <v>1</v>
      </c>
      <c r="E989" t="s">
        <v>15</v>
      </c>
      <c r="F989" t="s">
        <v>23</v>
      </c>
    </row>
    <row r="990" spans="1:6" x14ac:dyDescent="0.3">
      <c r="A990">
        <v>989</v>
      </c>
      <c r="B990" t="s">
        <v>14</v>
      </c>
      <c r="C990" t="s">
        <v>12</v>
      </c>
      <c r="D990" t="s">
        <v>22</v>
      </c>
      <c r="E990" t="s">
        <v>19</v>
      </c>
      <c r="F990" t="s">
        <v>10</v>
      </c>
    </row>
    <row r="991" spans="1:6" x14ac:dyDescent="0.3">
      <c r="A991">
        <v>990</v>
      </c>
      <c r="B991" t="s">
        <v>18</v>
      </c>
      <c r="C991" t="s">
        <v>7</v>
      </c>
      <c r="D991" t="s">
        <v>8</v>
      </c>
      <c r="E991" t="s">
        <v>19</v>
      </c>
      <c r="F991" t="s">
        <v>20</v>
      </c>
    </row>
    <row r="992" spans="1:6" x14ac:dyDescent="0.3">
      <c r="A992">
        <v>991</v>
      </c>
      <c r="B992" t="s">
        <v>16</v>
      </c>
      <c r="C992" t="s">
        <v>24</v>
      </c>
      <c r="D992" t="s">
        <v>8</v>
      </c>
      <c r="E992" t="s">
        <v>26</v>
      </c>
      <c r="F992" t="s">
        <v>23</v>
      </c>
    </row>
    <row r="993" spans="1:6" x14ac:dyDescent="0.3">
      <c r="A993">
        <v>992</v>
      </c>
      <c r="B993" t="s">
        <v>11</v>
      </c>
      <c r="C993" t="s">
        <v>12</v>
      </c>
      <c r="D993" t="s">
        <v>8</v>
      </c>
      <c r="E993" t="s">
        <v>21</v>
      </c>
      <c r="F993" t="s">
        <v>10</v>
      </c>
    </row>
    <row r="994" spans="1:6" x14ac:dyDescent="0.3">
      <c r="A994">
        <v>993</v>
      </c>
      <c r="B994" t="s">
        <v>18</v>
      </c>
      <c r="C994" t="s">
        <v>7</v>
      </c>
      <c r="D994" t="s">
        <v>8</v>
      </c>
      <c r="E994" t="s">
        <v>19</v>
      </c>
      <c r="F994" t="s">
        <v>10</v>
      </c>
    </row>
    <row r="995" spans="1:6" x14ac:dyDescent="0.3">
      <c r="A995">
        <v>994</v>
      </c>
      <c r="B995" t="s">
        <v>14</v>
      </c>
      <c r="C995" t="s">
        <v>7</v>
      </c>
      <c r="D995" t="s">
        <v>22</v>
      </c>
      <c r="E995" t="s">
        <v>15</v>
      </c>
      <c r="F995" t="s">
        <v>20</v>
      </c>
    </row>
    <row r="996" spans="1:6" x14ac:dyDescent="0.3">
      <c r="A996">
        <v>995</v>
      </c>
      <c r="B996" t="s">
        <v>16</v>
      </c>
      <c r="C996" t="s">
        <v>12</v>
      </c>
      <c r="D996" t="s">
        <v>8</v>
      </c>
      <c r="E996" t="s">
        <v>21</v>
      </c>
      <c r="F996" t="s">
        <v>13</v>
      </c>
    </row>
    <row r="997" spans="1:6" x14ac:dyDescent="0.3">
      <c r="A997">
        <v>996</v>
      </c>
      <c r="B997" t="s">
        <v>11</v>
      </c>
      <c r="C997" t="s">
        <v>7</v>
      </c>
      <c r="D997" t="s">
        <v>8</v>
      </c>
      <c r="E997" t="s">
        <v>9</v>
      </c>
      <c r="F997" t="s">
        <v>20</v>
      </c>
    </row>
    <row r="998" spans="1:6" x14ac:dyDescent="0.3">
      <c r="A998">
        <v>997</v>
      </c>
      <c r="B998" t="s">
        <v>25</v>
      </c>
      <c r="C998" t="s">
        <v>24</v>
      </c>
      <c r="D998" t="s">
        <v>8</v>
      </c>
      <c r="E998" t="s">
        <v>15</v>
      </c>
      <c r="F998" t="s">
        <v>13</v>
      </c>
    </row>
    <row r="999" spans="1:6" x14ac:dyDescent="0.3">
      <c r="A999">
        <v>998</v>
      </c>
      <c r="B999" t="s">
        <v>16</v>
      </c>
      <c r="C999" t="s">
        <v>7</v>
      </c>
      <c r="D999" t="s">
        <v>8</v>
      </c>
      <c r="E999" t="s">
        <v>9</v>
      </c>
      <c r="F999" t="s">
        <v>13</v>
      </c>
    </row>
    <row r="1000" spans="1:6" x14ac:dyDescent="0.3">
      <c r="A1000">
        <v>999</v>
      </c>
      <c r="B1000" t="s">
        <v>16</v>
      </c>
      <c r="C1000" t="s">
        <v>12</v>
      </c>
      <c r="D1000" t="s">
        <v>22</v>
      </c>
      <c r="E1000" t="s">
        <v>9</v>
      </c>
      <c r="F1000" t="s">
        <v>13</v>
      </c>
    </row>
    <row r="1001" spans="1:6" x14ac:dyDescent="0.3">
      <c r="A1001">
        <v>1000</v>
      </c>
      <c r="B1001" t="s">
        <v>6</v>
      </c>
      <c r="C1001" t="s">
        <v>7</v>
      </c>
      <c r="D1001" t="s">
        <v>8</v>
      </c>
      <c r="E1001" t="s">
        <v>15</v>
      </c>
      <c r="F1001" t="s">
        <v>13</v>
      </c>
    </row>
    <row r="1002" spans="1:6" x14ac:dyDescent="0.3">
      <c r="A1002">
        <v>1001</v>
      </c>
      <c r="B1002" t="s">
        <v>25</v>
      </c>
      <c r="C1002" t="s">
        <v>7</v>
      </c>
      <c r="D1002" t="s">
        <v>8</v>
      </c>
      <c r="E1002" t="s">
        <v>9</v>
      </c>
      <c r="F1002" t="s">
        <v>23</v>
      </c>
    </row>
    <row r="1003" spans="1:6" x14ac:dyDescent="0.3">
      <c r="A1003">
        <v>1002</v>
      </c>
      <c r="B1003" t="s">
        <v>16</v>
      </c>
      <c r="C1003" t="s">
        <v>24</v>
      </c>
      <c r="D1003" t="s">
        <v>1</v>
      </c>
      <c r="E1003" t="s">
        <v>26</v>
      </c>
      <c r="F1003" t="s">
        <v>13</v>
      </c>
    </row>
    <row r="1004" spans="1:6" x14ac:dyDescent="0.3">
      <c r="A1004">
        <v>1003</v>
      </c>
      <c r="B1004" t="s">
        <v>18</v>
      </c>
      <c r="C1004" t="s">
        <v>12</v>
      </c>
      <c r="D1004" t="s">
        <v>8</v>
      </c>
      <c r="E1004" t="s">
        <v>21</v>
      </c>
      <c r="F1004" t="s">
        <v>10</v>
      </c>
    </row>
    <row r="1005" spans="1:6" x14ac:dyDescent="0.3">
      <c r="A1005">
        <v>1004</v>
      </c>
      <c r="B1005" t="s">
        <v>11</v>
      </c>
      <c r="C1005" t="s">
        <v>12</v>
      </c>
      <c r="D1005" t="s">
        <v>8</v>
      </c>
      <c r="E1005" t="s">
        <v>21</v>
      </c>
      <c r="F1005" t="s">
        <v>10</v>
      </c>
    </row>
    <row r="1006" spans="1:6" x14ac:dyDescent="0.3">
      <c r="A1006">
        <v>1005</v>
      </c>
      <c r="B1006" t="s">
        <v>11</v>
      </c>
      <c r="C1006" t="s">
        <v>12</v>
      </c>
      <c r="D1006" t="s">
        <v>8</v>
      </c>
      <c r="E1006" t="s">
        <v>19</v>
      </c>
      <c r="F1006" t="s">
        <v>10</v>
      </c>
    </row>
    <row r="1007" spans="1:6" x14ac:dyDescent="0.3">
      <c r="A1007">
        <v>1006</v>
      </c>
      <c r="B1007" t="s">
        <v>18</v>
      </c>
      <c r="C1007" t="s">
        <v>12</v>
      </c>
      <c r="D1007" t="s">
        <v>1</v>
      </c>
      <c r="E1007" t="s">
        <v>9</v>
      </c>
      <c r="F1007" t="s">
        <v>20</v>
      </c>
    </row>
    <row r="1008" spans="1:6" x14ac:dyDescent="0.3">
      <c r="A1008">
        <v>1007</v>
      </c>
      <c r="B1008" t="s">
        <v>11</v>
      </c>
      <c r="C1008" t="s">
        <v>12</v>
      </c>
      <c r="D1008" t="s">
        <v>1</v>
      </c>
      <c r="E1008" t="s">
        <v>19</v>
      </c>
      <c r="F1008" t="s">
        <v>10</v>
      </c>
    </row>
    <row r="1009" spans="1:6" x14ac:dyDescent="0.3">
      <c r="A1009">
        <v>1008</v>
      </c>
      <c r="B1009" t="s">
        <v>18</v>
      </c>
      <c r="C1009" t="s">
        <v>7</v>
      </c>
      <c r="D1009" t="s">
        <v>8</v>
      </c>
      <c r="E1009" t="s">
        <v>19</v>
      </c>
      <c r="F1009" t="s">
        <v>10</v>
      </c>
    </row>
    <row r="1010" spans="1:6" x14ac:dyDescent="0.3">
      <c r="A1010">
        <v>1009</v>
      </c>
      <c r="B1010" t="s">
        <v>18</v>
      </c>
      <c r="C1010" t="s">
        <v>12</v>
      </c>
      <c r="D1010" t="s">
        <v>8</v>
      </c>
      <c r="E1010" t="s">
        <v>19</v>
      </c>
      <c r="F1010" t="s">
        <v>10</v>
      </c>
    </row>
    <row r="1011" spans="1:6" x14ac:dyDescent="0.3">
      <c r="A1011">
        <v>1010</v>
      </c>
      <c r="B1011" t="s">
        <v>14</v>
      </c>
      <c r="C1011" t="s">
        <v>7</v>
      </c>
      <c r="D1011" t="s">
        <v>22</v>
      </c>
      <c r="E1011" t="s">
        <v>21</v>
      </c>
      <c r="F1011" t="s">
        <v>23</v>
      </c>
    </row>
    <row r="1012" spans="1:6" x14ac:dyDescent="0.3">
      <c r="A1012">
        <v>1011</v>
      </c>
      <c r="B1012" t="s">
        <v>14</v>
      </c>
      <c r="C1012" t="s">
        <v>7</v>
      </c>
      <c r="D1012" t="s">
        <v>22</v>
      </c>
      <c r="E1012" t="s">
        <v>9</v>
      </c>
      <c r="F1012" t="s">
        <v>20</v>
      </c>
    </row>
    <row r="1013" spans="1:6" x14ac:dyDescent="0.3">
      <c r="A1013">
        <v>1012</v>
      </c>
      <c r="B1013" t="s">
        <v>25</v>
      </c>
      <c r="C1013" t="s">
        <v>7</v>
      </c>
      <c r="D1013" t="s">
        <v>8</v>
      </c>
      <c r="E1013" t="s">
        <v>9</v>
      </c>
      <c r="F1013" t="s">
        <v>10</v>
      </c>
    </row>
    <row r="1014" spans="1:6" x14ac:dyDescent="0.3">
      <c r="A1014">
        <v>1013</v>
      </c>
      <c r="B1014" t="s">
        <v>18</v>
      </c>
      <c r="C1014" t="s">
        <v>7</v>
      </c>
      <c r="D1014" t="s">
        <v>8</v>
      </c>
      <c r="E1014" t="s">
        <v>19</v>
      </c>
      <c r="F1014" t="s">
        <v>10</v>
      </c>
    </row>
    <row r="1015" spans="1:6" x14ac:dyDescent="0.3">
      <c r="A1015">
        <v>1014</v>
      </c>
      <c r="B1015" t="s">
        <v>6</v>
      </c>
      <c r="C1015" t="s">
        <v>12</v>
      </c>
      <c r="D1015" t="s">
        <v>8</v>
      </c>
      <c r="E1015" t="s">
        <v>9</v>
      </c>
      <c r="F1015" t="s">
        <v>23</v>
      </c>
    </row>
    <row r="1016" spans="1:6" x14ac:dyDescent="0.3">
      <c r="A1016">
        <v>1015</v>
      </c>
      <c r="B1016" t="s">
        <v>18</v>
      </c>
      <c r="C1016" t="s">
        <v>12</v>
      </c>
      <c r="D1016" t="s">
        <v>1</v>
      </c>
      <c r="E1016" t="s">
        <v>21</v>
      </c>
      <c r="F1016" t="s">
        <v>20</v>
      </c>
    </row>
    <row r="1017" spans="1:6" x14ac:dyDescent="0.3">
      <c r="A1017">
        <v>1016</v>
      </c>
      <c r="B1017" t="s">
        <v>6</v>
      </c>
      <c r="C1017" t="s">
        <v>7</v>
      </c>
      <c r="D1017" t="s">
        <v>1</v>
      </c>
      <c r="E1017" t="s">
        <v>9</v>
      </c>
      <c r="F1017" t="s">
        <v>10</v>
      </c>
    </row>
    <row r="1018" spans="1:6" x14ac:dyDescent="0.3">
      <c r="A1018">
        <v>1017</v>
      </c>
      <c r="B1018" t="s">
        <v>25</v>
      </c>
      <c r="C1018" t="s">
        <v>12</v>
      </c>
      <c r="D1018" t="s">
        <v>8</v>
      </c>
      <c r="E1018" t="s">
        <v>21</v>
      </c>
      <c r="F1018" t="s">
        <v>20</v>
      </c>
    </row>
    <row r="1019" spans="1:6" x14ac:dyDescent="0.3">
      <c r="A1019">
        <v>1018</v>
      </c>
      <c r="B1019" t="s">
        <v>6</v>
      </c>
      <c r="C1019" t="s">
        <v>12</v>
      </c>
      <c r="D1019" t="s">
        <v>22</v>
      </c>
      <c r="E1019" t="s">
        <v>9</v>
      </c>
      <c r="F1019" t="s">
        <v>10</v>
      </c>
    </row>
    <row r="1020" spans="1:6" x14ac:dyDescent="0.3">
      <c r="A1020">
        <v>1019</v>
      </c>
      <c r="B1020" t="s">
        <v>18</v>
      </c>
      <c r="C1020" t="s">
        <v>12</v>
      </c>
      <c r="D1020" t="s">
        <v>8</v>
      </c>
      <c r="E1020" t="s">
        <v>19</v>
      </c>
      <c r="F1020" t="s">
        <v>13</v>
      </c>
    </row>
    <row r="1021" spans="1:6" x14ac:dyDescent="0.3">
      <c r="A1021">
        <v>1020</v>
      </c>
      <c r="B1021" t="s">
        <v>6</v>
      </c>
      <c r="C1021" t="s">
        <v>24</v>
      </c>
      <c r="D1021" t="s">
        <v>22</v>
      </c>
      <c r="E1021" t="s">
        <v>15</v>
      </c>
      <c r="F1021" t="s">
        <v>20</v>
      </c>
    </row>
    <row r="1022" spans="1:6" x14ac:dyDescent="0.3">
      <c r="A1022">
        <v>1021</v>
      </c>
      <c r="B1022" t="s">
        <v>18</v>
      </c>
      <c r="C1022" t="s">
        <v>12</v>
      </c>
      <c r="D1022" t="s">
        <v>8</v>
      </c>
      <c r="E1022" t="s">
        <v>21</v>
      </c>
      <c r="F1022" t="s">
        <v>20</v>
      </c>
    </row>
    <row r="1023" spans="1:6" x14ac:dyDescent="0.3">
      <c r="A1023">
        <v>1022</v>
      </c>
      <c r="B1023" t="s">
        <v>14</v>
      </c>
      <c r="C1023" t="s">
        <v>12</v>
      </c>
      <c r="D1023" t="s">
        <v>22</v>
      </c>
      <c r="E1023" t="s">
        <v>21</v>
      </c>
      <c r="F1023" t="s">
        <v>20</v>
      </c>
    </row>
    <row r="1024" spans="1:6" x14ac:dyDescent="0.3">
      <c r="A1024">
        <v>1023</v>
      </c>
      <c r="B1024" t="s">
        <v>11</v>
      </c>
      <c r="C1024" t="s">
        <v>12</v>
      </c>
      <c r="D1024" t="s">
        <v>8</v>
      </c>
      <c r="E1024" t="s">
        <v>15</v>
      </c>
      <c r="F1024" t="s">
        <v>13</v>
      </c>
    </row>
    <row r="1025" spans="1:6" x14ac:dyDescent="0.3">
      <c r="A1025">
        <v>1024</v>
      </c>
      <c r="B1025" t="s">
        <v>18</v>
      </c>
      <c r="C1025" t="s">
        <v>12</v>
      </c>
      <c r="D1025" t="s">
        <v>1</v>
      </c>
      <c r="E1025" t="s">
        <v>21</v>
      </c>
      <c r="F1025" t="s">
        <v>20</v>
      </c>
    </row>
    <row r="1026" spans="1:6" x14ac:dyDescent="0.3">
      <c r="A1026">
        <v>1025</v>
      </c>
      <c r="B1026" t="s">
        <v>11</v>
      </c>
      <c r="C1026" t="s">
        <v>24</v>
      </c>
      <c r="D1026" t="s">
        <v>8</v>
      </c>
      <c r="E1026" t="s">
        <v>26</v>
      </c>
      <c r="F1026" t="s">
        <v>20</v>
      </c>
    </row>
    <row r="1027" spans="1:6" x14ac:dyDescent="0.3">
      <c r="A1027">
        <v>1026</v>
      </c>
      <c r="B1027" t="s">
        <v>14</v>
      </c>
      <c r="C1027" t="s">
        <v>7</v>
      </c>
      <c r="D1027" t="s">
        <v>8</v>
      </c>
      <c r="E1027" t="s">
        <v>15</v>
      </c>
      <c r="F1027" t="s">
        <v>13</v>
      </c>
    </row>
    <row r="1028" spans="1:6" x14ac:dyDescent="0.3">
      <c r="A1028">
        <v>1027</v>
      </c>
      <c r="B1028" t="s">
        <v>14</v>
      </c>
      <c r="C1028" t="s">
        <v>7</v>
      </c>
      <c r="D1028" t="s">
        <v>22</v>
      </c>
      <c r="E1028" t="s">
        <v>9</v>
      </c>
      <c r="F1028" t="s">
        <v>23</v>
      </c>
    </row>
    <row r="1029" spans="1:6" x14ac:dyDescent="0.3">
      <c r="A1029">
        <v>1028</v>
      </c>
      <c r="B1029" t="s">
        <v>6</v>
      </c>
      <c r="C1029" t="s">
        <v>12</v>
      </c>
      <c r="D1029" t="s">
        <v>22</v>
      </c>
      <c r="E1029" t="s">
        <v>15</v>
      </c>
      <c r="F1029" t="s">
        <v>20</v>
      </c>
    </row>
    <row r="1030" spans="1:6" x14ac:dyDescent="0.3">
      <c r="A1030">
        <v>1029</v>
      </c>
      <c r="B1030" t="s">
        <v>25</v>
      </c>
      <c r="C1030" t="s">
        <v>12</v>
      </c>
      <c r="D1030" t="s">
        <v>8</v>
      </c>
      <c r="E1030" t="s">
        <v>15</v>
      </c>
      <c r="F1030" t="s">
        <v>13</v>
      </c>
    </row>
    <row r="1031" spans="1:6" x14ac:dyDescent="0.3">
      <c r="A1031">
        <v>1030</v>
      </c>
      <c r="B1031" t="s">
        <v>25</v>
      </c>
      <c r="C1031" t="s">
        <v>7</v>
      </c>
      <c r="D1031" t="s">
        <v>1</v>
      </c>
      <c r="E1031" t="s">
        <v>21</v>
      </c>
      <c r="F1031" t="s">
        <v>13</v>
      </c>
    </row>
    <row r="1032" spans="1:6" x14ac:dyDescent="0.3">
      <c r="A1032">
        <v>1031</v>
      </c>
      <c r="B1032" t="s">
        <v>6</v>
      </c>
      <c r="C1032" t="s">
        <v>7</v>
      </c>
      <c r="D1032" t="s">
        <v>8</v>
      </c>
      <c r="E1032" t="s">
        <v>9</v>
      </c>
      <c r="F1032" t="s">
        <v>23</v>
      </c>
    </row>
    <row r="1033" spans="1:6" x14ac:dyDescent="0.3">
      <c r="A1033">
        <v>1032</v>
      </c>
      <c r="B1033" t="s">
        <v>25</v>
      </c>
      <c r="C1033" t="s">
        <v>7</v>
      </c>
      <c r="D1033" t="s">
        <v>1</v>
      </c>
      <c r="E1033" t="s">
        <v>15</v>
      </c>
      <c r="F1033" t="s">
        <v>23</v>
      </c>
    </row>
    <row r="1034" spans="1:6" x14ac:dyDescent="0.3">
      <c r="A1034">
        <v>1033</v>
      </c>
      <c r="B1034" t="s">
        <v>11</v>
      </c>
      <c r="C1034" t="s">
        <v>7</v>
      </c>
      <c r="D1034" t="s">
        <v>8</v>
      </c>
      <c r="E1034" t="s">
        <v>9</v>
      </c>
      <c r="F1034" t="s">
        <v>13</v>
      </c>
    </row>
    <row r="1035" spans="1:6" x14ac:dyDescent="0.3">
      <c r="A1035">
        <v>1034</v>
      </c>
      <c r="B1035" t="s">
        <v>14</v>
      </c>
      <c r="C1035" t="s">
        <v>24</v>
      </c>
      <c r="D1035" t="s">
        <v>22</v>
      </c>
      <c r="E1035" t="s">
        <v>26</v>
      </c>
      <c r="F1035" t="s">
        <v>13</v>
      </c>
    </row>
    <row r="1036" spans="1:6" x14ac:dyDescent="0.3">
      <c r="A1036">
        <v>1035</v>
      </c>
      <c r="B1036" t="s">
        <v>18</v>
      </c>
      <c r="C1036" t="s">
        <v>7</v>
      </c>
      <c r="D1036" t="s">
        <v>22</v>
      </c>
      <c r="E1036" t="s">
        <v>21</v>
      </c>
      <c r="F1036" t="s">
        <v>10</v>
      </c>
    </row>
    <row r="1037" spans="1:6" x14ac:dyDescent="0.3">
      <c r="A1037">
        <v>1036</v>
      </c>
      <c r="B1037" t="s">
        <v>6</v>
      </c>
      <c r="C1037" t="s">
        <v>12</v>
      </c>
      <c r="D1037" t="s">
        <v>22</v>
      </c>
      <c r="E1037" t="s">
        <v>15</v>
      </c>
      <c r="F1037" t="s">
        <v>13</v>
      </c>
    </row>
    <row r="1038" spans="1:6" x14ac:dyDescent="0.3">
      <c r="A1038">
        <v>1037</v>
      </c>
      <c r="B1038" t="s">
        <v>18</v>
      </c>
      <c r="C1038" t="s">
        <v>12</v>
      </c>
      <c r="D1038" t="s">
        <v>1</v>
      </c>
      <c r="E1038" t="s">
        <v>21</v>
      </c>
      <c r="F1038" t="s">
        <v>20</v>
      </c>
    </row>
    <row r="1039" spans="1:6" x14ac:dyDescent="0.3">
      <c r="A1039">
        <v>1038</v>
      </c>
      <c r="B1039" t="s">
        <v>25</v>
      </c>
      <c r="C1039" t="s">
        <v>24</v>
      </c>
      <c r="D1039" t="s">
        <v>22</v>
      </c>
      <c r="E1039" t="s">
        <v>26</v>
      </c>
      <c r="F1039" t="s">
        <v>10</v>
      </c>
    </row>
    <row r="1040" spans="1:6" x14ac:dyDescent="0.3">
      <c r="A1040">
        <v>1039</v>
      </c>
      <c r="B1040" t="s">
        <v>11</v>
      </c>
      <c r="C1040" t="s">
        <v>12</v>
      </c>
      <c r="D1040" t="s">
        <v>8</v>
      </c>
      <c r="E1040" t="s">
        <v>9</v>
      </c>
      <c r="F1040" t="s">
        <v>10</v>
      </c>
    </row>
    <row r="1041" spans="1:6" x14ac:dyDescent="0.3">
      <c r="A1041">
        <v>1040</v>
      </c>
      <c r="B1041" t="s">
        <v>16</v>
      </c>
      <c r="C1041" t="s">
        <v>12</v>
      </c>
      <c r="D1041" t="s">
        <v>1</v>
      </c>
      <c r="E1041" t="s">
        <v>21</v>
      </c>
      <c r="F1041" t="s">
        <v>23</v>
      </c>
    </row>
    <row r="1042" spans="1:6" x14ac:dyDescent="0.3">
      <c r="A1042">
        <v>1041</v>
      </c>
      <c r="B1042" t="s">
        <v>16</v>
      </c>
      <c r="C1042" t="s">
        <v>7</v>
      </c>
      <c r="D1042" t="s">
        <v>8</v>
      </c>
      <c r="E1042" t="s">
        <v>9</v>
      </c>
      <c r="F1042" t="s">
        <v>20</v>
      </c>
    </row>
    <row r="1043" spans="1:6" x14ac:dyDescent="0.3">
      <c r="A1043">
        <v>1042</v>
      </c>
      <c r="B1043" t="s">
        <v>16</v>
      </c>
      <c r="C1043" t="s">
        <v>12</v>
      </c>
      <c r="D1043" t="s">
        <v>8</v>
      </c>
      <c r="E1043" t="s">
        <v>9</v>
      </c>
      <c r="F1043" t="s">
        <v>10</v>
      </c>
    </row>
    <row r="1044" spans="1:6" x14ac:dyDescent="0.3">
      <c r="A1044">
        <v>1043</v>
      </c>
      <c r="B1044" t="s">
        <v>25</v>
      </c>
      <c r="C1044" t="s">
        <v>7</v>
      </c>
      <c r="D1044" t="s">
        <v>22</v>
      </c>
      <c r="E1044" t="s">
        <v>15</v>
      </c>
      <c r="F1044" t="s">
        <v>13</v>
      </c>
    </row>
    <row r="1045" spans="1:6" x14ac:dyDescent="0.3">
      <c r="A1045">
        <v>1044</v>
      </c>
      <c r="B1045" t="s">
        <v>6</v>
      </c>
      <c r="C1045" t="s">
        <v>12</v>
      </c>
      <c r="D1045" t="s">
        <v>1</v>
      </c>
      <c r="E1045" t="s">
        <v>19</v>
      </c>
      <c r="F1045" t="s">
        <v>10</v>
      </c>
    </row>
    <row r="1046" spans="1:6" x14ac:dyDescent="0.3">
      <c r="A1046">
        <v>1045</v>
      </c>
      <c r="B1046" t="s">
        <v>6</v>
      </c>
      <c r="C1046" t="s">
        <v>12</v>
      </c>
      <c r="D1046" t="s">
        <v>8</v>
      </c>
      <c r="E1046" t="s">
        <v>9</v>
      </c>
      <c r="F1046" t="s">
        <v>20</v>
      </c>
    </row>
    <row r="1047" spans="1:6" x14ac:dyDescent="0.3">
      <c r="A1047">
        <v>1046</v>
      </c>
      <c r="B1047" t="s">
        <v>14</v>
      </c>
      <c r="C1047" t="s">
        <v>12</v>
      </c>
      <c r="D1047" t="s">
        <v>8</v>
      </c>
      <c r="E1047" t="s">
        <v>21</v>
      </c>
      <c r="F1047" t="s">
        <v>23</v>
      </c>
    </row>
    <row r="1048" spans="1:6" x14ac:dyDescent="0.3">
      <c r="A1048">
        <v>1047</v>
      </c>
      <c r="B1048" t="s">
        <v>25</v>
      </c>
      <c r="C1048" t="s">
        <v>7</v>
      </c>
      <c r="D1048" t="s">
        <v>8</v>
      </c>
      <c r="E1048" t="s">
        <v>9</v>
      </c>
      <c r="F1048" t="s">
        <v>23</v>
      </c>
    </row>
    <row r="1049" spans="1:6" x14ac:dyDescent="0.3">
      <c r="A1049">
        <v>1048</v>
      </c>
      <c r="B1049" t="s">
        <v>6</v>
      </c>
      <c r="C1049" t="s">
        <v>7</v>
      </c>
      <c r="D1049" t="s">
        <v>8</v>
      </c>
      <c r="E1049" t="s">
        <v>21</v>
      </c>
      <c r="F1049" t="s">
        <v>13</v>
      </c>
    </row>
    <row r="1050" spans="1:6" x14ac:dyDescent="0.3">
      <c r="A1050">
        <v>1049</v>
      </c>
      <c r="B1050" t="s">
        <v>18</v>
      </c>
      <c r="C1050" t="s">
        <v>7</v>
      </c>
      <c r="D1050" t="s">
        <v>8</v>
      </c>
      <c r="E1050" t="s">
        <v>21</v>
      </c>
      <c r="F1050" t="s">
        <v>20</v>
      </c>
    </row>
    <row r="1051" spans="1:6" x14ac:dyDescent="0.3">
      <c r="A1051">
        <v>1050</v>
      </c>
      <c r="B1051" t="s">
        <v>25</v>
      </c>
      <c r="C1051" t="s">
        <v>12</v>
      </c>
      <c r="D1051" t="s">
        <v>22</v>
      </c>
      <c r="E1051" t="s">
        <v>15</v>
      </c>
      <c r="F1051" t="s">
        <v>13</v>
      </c>
    </row>
    <row r="1052" spans="1:6" x14ac:dyDescent="0.3">
      <c r="A1052">
        <v>1051</v>
      </c>
      <c r="B1052" t="s">
        <v>25</v>
      </c>
      <c r="C1052" t="s">
        <v>12</v>
      </c>
      <c r="D1052" t="s">
        <v>22</v>
      </c>
      <c r="E1052" t="s">
        <v>9</v>
      </c>
      <c r="F1052" t="s">
        <v>10</v>
      </c>
    </row>
    <row r="1053" spans="1:6" x14ac:dyDescent="0.3">
      <c r="A1053">
        <v>1052</v>
      </c>
      <c r="B1053" t="s">
        <v>11</v>
      </c>
      <c r="C1053" t="s">
        <v>12</v>
      </c>
      <c r="D1053" t="s">
        <v>8</v>
      </c>
      <c r="E1053" t="s">
        <v>9</v>
      </c>
      <c r="F1053" t="s">
        <v>23</v>
      </c>
    </row>
    <row r="1054" spans="1:6" x14ac:dyDescent="0.3">
      <c r="A1054">
        <v>1053</v>
      </c>
      <c r="B1054" t="s">
        <v>11</v>
      </c>
      <c r="C1054" t="s">
        <v>12</v>
      </c>
      <c r="D1054" t="s">
        <v>1</v>
      </c>
      <c r="E1054" t="s">
        <v>21</v>
      </c>
      <c r="F1054" t="s">
        <v>10</v>
      </c>
    </row>
    <row r="1055" spans="1:6" x14ac:dyDescent="0.3">
      <c r="A1055">
        <v>1054</v>
      </c>
      <c r="B1055" t="s">
        <v>6</v>
      </c>
      <c r="C1055" t="s">
        <v>12</v>
      </c>
      <c r="D1055" t="s">
        <v>8</v>
      </c>
      <c r="E1055" t="s">
        <v>9</v>
      </c>
      <c r="F1055" t="s">
        <v>23</v>
      </c>
    </row>
    <row r="1056" spans="1:6" x14ac:dyDescent="0.3">
      <c r="A1056">
        <v>1055</v>
      </c>
      <c r="B1056" t="s">
        <v>11</v>
      </c>
      <c r="C1056" t="s">
        <v>12</v>
      </c>
      <c r="D1056" t="s">
        <v>22</v>
      </c>
      <c r="E1056" t="s">
        <v>21</v>
      </c>
      <c r="F1056" t="s">
        <v>13</v>
      </c>
    </row>
    <row r="1057" spans="1:6" x14ac:dyDescent="0.3">
      <c r="A1057">
        <v>1056</v>
      </c>
      <c r="B1057" t="s">
        <v>25</v>
      </c>
      <c r="C1057" t="s">
        <v>7</v>
      </c>
      <c r="D1057" t="s">
        <v>8</v>
      </c>
      <c r="E1057" t="s">
        <v>9</v>
      </c>
      <c r="F1057" t="s">
        <v>20</v>
      </c>
    </row>
    <row r="1058" spans="1:6" x14ac:dyDescent="0.3">
      <c r="A1058">
        <v>1057</v>
      </c>
      <c r="B1058" t="s">
        <v>25</v>
      </c>
      <c r="C1058" t="s">
        <v>7</v>
      </c>
      <c r="D1058" t="s">
        <v>8</v>
      </c>
      <c r="E1058" t="s">
        <v>9</v>
      </c>
      <c r="F1058" t="s">
        <v>10</v>
      </c>
    </row>
    <row r="1059" spans="1:6" x14ac:dyDescent="0.3">
      <c r="A1059">
        <v>1058</v>
      </c>
      <c r="B1059" t="s">
        <v>6</v>
      </c>
      <c r="C1059" t="s">
        <v>7</v>
      </c>
      <c r="D1059" t="s">
        <v>8</v>
      </c>
      <c r="E1059" t="s">
        <v>9</v>
      </c>
      <c r="F1059" t="s">
        <v>10</v>
      </c>
    </row>
    <row r="1060" spans="1:6" x14ac:dyDescent="0.3">
      <c r="A1060">
        <v>1059</v>
      </c>
      <c r="B1060" t="s">
        <v>18</v>
      </c>
      <c r="C1060" t="s">
        <v>7</v>
      </c>
      <c r="D1060" t="s">
        <v>8</v>
      </c>
      <c r="E1060" t="s">
        <v>19</v>
      </c>
      <c r="F1060" t="s">
        <v>20</v>
      </c>
    </row>
    <row r="1061" spans="1:6" x14ac:dyDescent="0.3">
      <c r="A1061">
        <v>1060</v>
      </c>
      <c r="B1061" t="s">
        <v>6</v>
      </c>
      <c r="C1061" t="s">
        <v>7</v>
      </c>
      <c r="D1061" t="s">
        <v>1</v>
      </c>
      <c r="E1061" t="s">
        <v>21</v>
      </c>
      <c r="F1061" t="s">
        <v>13</v>
      </c>
    </row>
    <row r="1062" spans="1:6" x14ac:dyDescent="0.3">
      <c r="A1062">
        <v>1061</v>
      </c>
      <c r="B1062" t="s">
        <v>18</v>
      </c>
      <c r="C1062" t="s">
        <v>12</v>
      </c>
      <c r="D1062" t="s">
        <v>22</v>
      </c>
      <c r="E1062" t="s">
        <v>9</v>
      </c>
      <c r="F1062" t="s">
        <v>23</v>
      </c>
    </row>
    <row r="1063" spans="1:6" x14ac:dyDescent="0.3">
      <c r="A1063">
        <v>1062</v>
      </c>
      <c r="B1063" t="s">
        <v>25</v>
      </c>
      <c r="C1063" t="s">
        <v>7</v>
      </c>
      <c r="D1063" t="s">
        <v>22</v>
      </c>
      <c r="E1063" t="s">
        <v>9</v>
      </c>
      <c r="F1063" t="s">
        <v>10</v>
      </c>
    </row>
    <row r="1064" spans="1:6" x14ac:dyDescent="0.3">
      <c r="A1064">
        <v>1063</v>
      </c>
      <c r="B1064" t="s">
        <v>16</v>
      </c>
      <c r="C1064" t="s">
        <v>24</v>
      </c>
      <c r="D1064" t="s">
        <v>1</v>
      </c>
      <c r="E1064" t="s">
        <v>26</v>
      </c>
      <c r="F1064" t="s">
        <v>20</v>
      </c>
    </row>
    <row r="1065" spans="1:6" x14ac:dyDescent="0.3">
      <c r="A1065">
        <v>1064</v>
      </c>
      <c r="B1065" t="s">
        <v>11</v>
      </c>
      <c r="C1065" t="s">
        <v>12</v>
      </c>
      <c r="D1065" t="s">
        <v>8</v>
      </c>
      <c r="E1065" t="s">
        <v>9</v>
      </c>
      <c r="F1065" t="s">
        <v>20</v>
      </c>
    </row>
    <row r="1066" spans="1:6" x14ac:dyDescent="0.3">
      <c r="A1066">
        <v>1065</v>
      </c>
      <c r="B1066" t="s">
        <v>16</v>
      </c>
      <c r="C1066" t="s">
        <v>12</v>
      </c>
      <c r="D1066" t="s">
        <v>8</v>
      </c>
      <c r="E1066" t="s">
        <v>15</v>
      </c>
      <c r="F1066" t="s">
        <v>23</v>
      </c>
    </row>
    <row r="1067" spans="1:6" x14ac:dyDescent="0.3">
      <c r="A1067">
        <v>1066</v>
      </c>
      <c r="B1067" t="s">
        <v>11</v>
      </c>
      <c r="C1067" t="s">
        <v>7</v>
      </c>
      <c r="D1067" t="s">
        <v>1</v>
      </c>
      <c r="E1067" t="s">
        <v>21</v>
      </c>
      <c r="F1067" t="s">
        <v>23</v>
      </c>
    </row>
    <row r="1068" spans="1:6" x14ac:dyDescent="0.3">
      <c r="A1068">
        <v>1067</v>
      </c>
      <c r="B1068" t="s">
        <v>16</v>
      </c>
      <c r="C1068" t="s">
        <v>7</v>
      </c>
      <c r="D1068" t="s">
        <v>8</v>
      </c>
      <c r="E1068" t="s">
        <v>21</v>
      </c>
      <c r="F1068" t="s">
        <v>20</v>
      </c>
    </row>
    <row r="1069" spans="1:6" x14ac:dyDescent="0.3">
      <c r="A1069">
        <v>1068</v>
      </c>
      <c r="B1069" t="s">
        <v>6</v>
      </c>
      <c r="C1069" t="s">
        <v>12</v>
      </c>
      <c r="D1069" t="s">
        <v>8</v>
      </c>
      <c r="E1069" t="s">
        <v>9</v>
      </c>
      <c r="F1069" t="s">
        <v>13</v>
      </c>
    </row>
    <row r="1070" spans="1:6" x14ac:dyDescent="0.3">
      <c r="A1070">
        <v>1069</v>
      </c>
      <c r="B1070" t="s">
        <v>18</v>
      </c>
      <c r="C1070" t="s">
        <v>7</v>
      </c>
      <c r="D1070" t="s">
        <v>22</v>
      </c>
      <c r="E1070" t="s">
        <v>9</v>
      </c>
      <c r="F1070" t="s">
        <v>10</v>
      </c>
    </row>
    <row r="1071" spans="1:6" x14ac:dyDescent="0.3">
      <c r="A1071">
        <v>1070</v>
      </c>
      <c r="B1071" t="s">
        <v>25</v>
      </c>
      <c r="C1071" t="s">
        <v>12</v>
      </c>
      <c r="D1071" t="s">
        <v>1</v>
      </c>
      <c r="E1071" t="s">
        <v>21</v>
      </c>
      <c r="F1071" t="s">
        <v>13</v>
      </c>
    </row>
    <row r="1072" spans="1:6" x14ac:dyDescent="0.3">
      <c r="A1072">
        <v>1071</v>
      </c>
      <c r="B1072" t="s">
        <v>6</v>
      </c>
      <c r="C1072" t="s">
        <v>12</v>
      </c>
      <c r="D1072" t="s">
        <v>8</v>
      </c>
      <c r="E1072" t="s">
        <v>9</v>
      </c>
      <c r="F1072" t="s">
        <v>23</v>
      </c>
    </row>
    <row r="1073" spans="1:6" x14ac:dyDescent="0.3">
      <c r="A1073">
        <v>1072</v>
      </c>
      <c r="B1073" t="s">
        <v>18</v>
      </c>
      <c r="C1073" t="s">
        <v>7</v>
      </c>
      <c r="D1073" t="s">
        <v>22</v>
      </c>
      <c r="E1073" t="s">
        <v>9</v>
      </c>
      <c r="F1073" t="s">
        <v>10</v>
      </c>
    </row>
    <row r="1074" spans="1:6" x14ac:dyDescent="0.3">
      <c r="A1074">
        <v>1073</v>
      </c>
      <c r="B1074" t="s">
        <v>14</v>
      </c>
      <c r="C1074" t="s">
        <v>12</v>
      </c>
      <c r="D1074" t="s">
        <v>22</v>
      </c>
      <c r="E1074" t="s">
        <v>19</v>
      </c>
      <c r="F1074" t="s">
        <v>10</v>
      </c>
    </row>
    <row r="1075" spans="1:6" x14ac:dyDescent="0.3">
      <c r="A1075">
        <v>1074</v>
      </c>
      <c r="B1075" t="s">
        <v>6</v>
      </c>
      <c r="C1075" t="s">
        <v>7</v>
      </c>
      <c r="D1075" t="s">
        <v>22</v>
      </c>
      <c r="E1075" t="s">
        <v>9</v>
      </c>
      <c r="F1075" t="s">
        <v>10</v>
      </c>
    </row>
    <row r="1076" spans="1:6" x14ac:dyDescent="0.3">
      <c r="A1076">
        <v>1075</v>
      </c>
      <c r="B1076" t="s">
        <v>16</v>
      </c>
      <c r="C1076" t="s">
        <v>12</v>
      </c>
      <c r="D1076" t="s">
        <v>8</v>
      </c>
      <c r="E1076" t="s">
        <v>9</v>
      </c>
      <c r="F1076" t="s">
        <v>20</v>
      </c>
    </row>
    <row r="1077" spans="1:6" x14ac:dyDescent="0.3">
      <c r="A1077">
        <v>1076</v>
      </c>
      <c r="B1077" t="s">
        <v>18</v>
      </c>
      <c r="C1077" t="s">
        <v>7</v>
      </c>
      <c r="D1077" t="s">
        <v>8</v>
      </c>
      <c r="E1077" t="s">
        <v>9</v>
      </c>
      <c r="F1077" t="s">
        <v>23</v>
      </c>
    </row>
    <row r="1078" spans="1:6" x14ac:dyDescent="0.3">
      <c r="A1078">
        <v>1077</v>
      </c>
      <c r="B1078" t="s">
        <v>16</v>
      </c>
      <c r="C1078" t="s">
        <v>24</v>
      </c>
      <c r="D1078" t="s">
        <v>1</v>
      </c>
      <c r="E1078" t="s">
        <v>26</v>
      </c>
      <c r="F1078" t="s">
        <v>23</v>
      </c>
    </row>
    <row r="1079" spans="1:6" x14ac:dyDescent="0.3">
      <c r="A1079">
        <v>1078</v>
      </c>
      <c r="B1079" t="s">
        <v>14</v>
      </c>
      <c r="C1079" t="s">
        <v>24</v>
      </c>
      <c r="D1079" t="s">
        <v>1</v>
      </c>
      <c r="E1079" t="s">
        <v>15</v>
      </c>
      <c r="F1079" t="s">
        <v>13</v>
      </c>
    </row>
    <row r="1080" spans="1:6" x14ac:dyDescent="0.3">
      <c r="A1080">
        <v>1079</v>
      </c>
      <c r="B1080" t="s">
        <v>25</v>
      </c>
      <c r="C1080" t="s">
        <v>12</v>
      </c>
      <c r="D1080" t="s">
        <v>1</v>
      </c>
      <c r="E1080" t="s">
        <v>9</v>
      </c>
      <c r="F1080" t="s">
        <v>20</v>
      </c>
    </row>
    <row r="1081" spans="1:6" x14ac:dyDescent="0.3">
      <c r="A1081">
        <v>1080</v>
      </c>
      <c r="B1081" t="s">
        <v>18</v>
      </c>
      <c r="C1081" t="s">
        <v>12</v>
      </c>
      <c r="D1081" t="s">
        <v>1</v>
      </c>
      <c r="E1081" t="s">
        <v>21</v>
      </c>
      <c r="F1081" t="s">
        <v>20</v>
      </c>
    </row>
    <row r="1082" spans="1:6" x14ac:dyDescent="0.3">
      <c r="A1082">
        <v>1081</v>
      </c>
      <c r="B1082" t="s">
        <v>25</v>
      </c>
      <c r="C1082" t="s">
        <v>12</v>
      </c>
      <c r="D1082" t="s">
        <v>1</v>
      </c>
      <c r="E1082" t="s">
        <v>9</v>
      </c>
      <c r="F1082" t="s">
        <v>10</v>
      </c>
    </row>
    <row r="1083" spans="1:6" x14ac:dyDescent="0.3">
      <c r="A1083">
        <v>1082</v>
      </c>
      <c r="B1083" t="s">
        <v>11</v>
      </c>
      <c r="C1083" t="s">
        <v>7</v>
      </c>
      <c r="D1083" t="s">
        <v>22</v>
      </c>
      <c r="E1083" t="s">
        <v>21</v>
      </c>
      <c r="F1083" t="s">
        <v>10</v>
      </c>
    </row>
    <row r="1084" spans="1:6" x14ac:dyDescent="0.3">
      <c r="A1084">
        <v>1083</v>
      </c>
      <c r="B1084" t="s">
        <v>18</v>
      </c>
      <c r="C1084" t="s">
        <v>7</v>
      </c>
      <c r="D1084" t="s">
        <v>8</v>
      </c>
      <c r="E1084" t="s">
        <v>9</v>
      </c>
      <c r="F1084" t="s">
        <v>23</v>
      </c>
    </row>
    <row r="1085" spans="1:6" x14ac:dyDescent="0.3">
      <c r="A1085">
        <v>1084</v>
      </c>
      <c r="B1085" t="s">
        <v>11</v>
      </c>
      <c r="C1085" t="s">
        <v>7</v>
      </c>
      <c r="D1085" t="s">
        <v>8</v>
      </c>
      <c r="E1085" t="s">
        <v>15</v>
      </c>
      <c r="F1085" t="s">
        <v>23</v>
      </c>
    </row>
    <row r="1086" spans="1:6" x14ac:dyDescent="0.3">
      <c r="A1086">
        <v>1085</v>
      </c>
      <c r="B1086" t="s">
        <v>25</v>
      </c>
      <c r="C1086" t="s">
        <v>12</v>
      </c>
      <c r="D1086" t="s">
        <v>8</v>
      </c>
      <c r="E1086" t="s">
        <v>21</v>
      </c>
      <c r="F1086" t="s">
        <v>23</v>
      </c>
    </row>
    <row r="1087" spans="1:6" x14ac:dyDescent="0.3">
      <c r="A1087">
        <v>1086</v>
      </c>
      <c r="B1087" t="s">
        <v>25</v>
      </c>
      <c r="C1087" t="s">
        <v>12</v>
      </c>
      <c r="D1087" t="s">
        <v>1</v>
      </c>
      <c r="E1087" t="s">
        <v>21</v>
      </c>
      <c r="F1087" t="s">
        <v>23</v>
      </c>
    </row>
    <row r="1088" spans="1:6" x14ac:dyDescent="0.3">
      <c r="A1088">
        <v>1087</v>
      </c>
      <c r="B1088" t="s">
        <v>25</v>
      </c>
      <c r="C1088" t="s">
        <v>12</v>
      </c>
      <c r="D1088" t="s">
        <v>22</v>
      </c>
      <c r="E1088" t="s">
        <v>15</v>
      </c>
      <c r="F1088" t="s">
        <v>20</v>
      </c>
    </row>
    <row r="1089" spans="1:6" x14ac:dyDescent="0.3">
      <c r="A1089">
        <v>1088</v>
      </c>
      <c r="B1089" t="s">
        <v>16</v>
      </c>
      <c r="C1089" t="s">
        <v>7</v>
      </c>
      <c r="D1089" t="s">
        <v>22</v>
      </c>
      <c r="E1089" t="s">
        <v>21</v>
      </c>
      <c r="F1089" t="s">
        <v>13</v>
      </c>
    </row>
    <row r="1090" spans="1:6" x14ac:dyDescent="0.3">
      <c r="A1090">
        <v>1089</v>
      </c>
      <c r="B1090" t="s">
        <v>25</v>
      </c>
      <c r="C1090" t="s">
        <v>24</v>
      </c>
      <c r="D1090" t="s">
        <v>1</v>
      </c>
      <c r="E1090" t="s">
        <v>15</v>
      </c>
      <c r="F1090" t="s">
        <v>13</v>
      </c>
    </row>
    <row r="1091" spans="1:6" x14ac:dyDescent="0.3">
      <c r="A1091">
        <v>1090</v>
      </c>
      <c r="B1091" t="s">
        <v>18</v>
      </c>
      <c r="C1091" t="s">
        <v>12</v>
      </c>
      <c r="D1091" t="s">
        <v>1</v>
      </c>
      <c r="E1091" t="s">
        <v>21</v>
      </c>
      <c r="F1091" t="s">
        <v>13</v>
      </c>
    </row>
    <row r="1092" spans="1:6" x14ac:dyDescent="0.3">
      <c r="A1092">
        <v>1091</v>
      </c>
      <c r="B1092" t="s">
        <v>25</v>
      </c>
      <c r="C1092" t="s">
        <v>12</v>
      </c>
      <c r="D1092" t="s">
        <v>8</v>
      </c>
      <c r="E1092" t="s">
        <v>9</v>
      </c>
      <c r="F1092" t="s">
        <v>20</v>
      </c>
    </row>
    <row r="1093" spans="1:6" x14ac:dyDescent="0.3">
      <c r="A1093">
        <v>1092</v>
      </c>
      <c r="B1093" t="s">
        <v>6</v>
      </c>
      <c r="C1093" t="s">
        <v>12</v>
      </c>
      <c r="D1093" t="s">
        <v>8</v>
      </c>
      <c r="E1093" t="s">
        <v>9</v>
      </c>
      <c r="F1093" t="s">
        <v>13</v>
      </c>
    </row>
    <row r="1094" spans="1:6" x14ac:dyDescent="0.3">
      <c r="A1094">
        <v>1093</v>
      </c>
      <c r="B1094" t="s">
        <v>14</v>
      </c>
      <c r="C1094" t="s">
        <v>12</v>
      </c>
      <c r="D1094" t="s">
        <v>22</v>
      </c>
      <c r="E1094" t="s">
        <v>21</v>
      </c>
      <c r="F1094" t="s">
        <v>13</v>
      </c>
    </row>
    <row r="1095" spans="1:6" x14ac:dyDescent="0.3">
      <c r="A1095">
        <v>1094</v>
      </c>
      <c r="B1095" t="s">
        <v>11</v>
      </c>
      <c r="C1095" t="s">
        <v>12</v>
      </c>
      <c r="D1095" t="s">
        <v>8</v>
      </c>
      <c r="E1095" t="s">
        <v>21</v>
      </c>
      <c r="F1095" t="s">
        <v>13</v>
      </c>
    </row>
    <row r="1096" spans="1:6" x14ac:dyDescent="0.3">
      <c r="A1096">
        <v>1095</v>
      </c>
      <c r="B1096" t="s">
        <v>14</v>
      </c>
      <c r="C1096" t="s">
        <v>7</v>
      </c>
      <c r="D1096" t="s">
        <v>8</v>
      </c>
      <c r="E1096" t="s">
        <v>21</v>
      </c>
      <c r="F1096" t="s">
        <v>20</v>
      </c>
    </row>
    <row r="1097" spans="1:6" x14ac:dyDescent="0.3">
      <c r="A1097">
        <v>1096</v>
      </c>
      <c r="B1097" t="s">
        <v>6</v>
      </c>
      <c r="C1097" t="s">
        <v>12</v>
      </c>
      <c r="D1097" t="s">
        <v>8</v>
      </c>
      <c r="E1097" t="s">
        <v>9</v>
      </c>
      <c r="F1097" t="s">
        <v>13</v>
      </c>
    </row>
    <row r="1098" spans="1:6" x14ac:dyDescent="0.3">
      <c r="A1098">
        <v>1097</v>
      </c>
      <c r="B1098" t="s">
        <v>16</v>
      </c>
      <c r="C1098" t="s">
        <v>7</v>
      </c>
      <c r="D1098" t="s">
        <v>8</v>
      </c>
      <c r="E1098" t="s">
        <v>21</v>
      </c>
      <c r="F1098" t="s">
        <v>13</v>
      </c>
    </row>
    <row r="1099" spans="1:6" x14ac:dyDescent="0.3">
      <c r="A1099">
        <v>1098</v>
      </c>
      <c r="B1099" t="s">
        <v>25</v>
      </c>
      <c r="C1099" t="s">
        <v>12</v>
      </c>
      <c r="D1099" t="s">
        <v>1</v>
      </c>
      <c r="E1099" t="s">
        <v>21</v>
      </c>
      <c r="F1099" t="s">
        <v>13</v>
      </c>
    </row>
    <row r="1100" spans="1:6" x14ac:dyDescent="0.3">
      <c r="A1100">
        <v>1099</v>
      </c>
      <c r="B1100" t="s">
        <v>18</v>
      </c>
      <c r="C1100" t="s">
        <v>7</v>
      </c>
      <c r="D1100" t="s">
        <v>8</v>
      </c>
      <c r="E1100" t="s">
        <v>21</v>
      </c>
      <c r="F1100" t="s">
        <v>20</v>
      </c>
    </row>
    <row r="1101" spans="1:6" x14ac:dyDescent="0.3">
      <c r="A1101">
        <v>1100</v>
      </c>
      <c r="B1101" t="s">
        <v>11</v>
      </c>
      <c r="C1101" t="s">
        <v>7</v>
      </c>
      <c r="D1101" t="s">
        <v>8</v>
      </c>
      <c r="E1101" t="s">
        <v>9</v>
      </c>
      <c r="F1101" t="s">
        <v>23</v>
      </c>
    </row>
    <row r="1102" spans="1:6" x14ac:dyDescent="0.3">
      <c r="A1102">
        <v>1101</v>
      </c>
      <c r="B1102" t="s">
        <v>25</v>
      </c>
      <c r="C1102" t="s">
        <v>7</v>
      </c>
      <c r="D1102" t="s">
        <v>8</v>
      </c>
      <c r="E1102" t="s">
        <v>9</v>
      </c>
      <c r="F1102" t="s">
        <v>13</v>
      </c>
    </row>
    <row r="1103" spans="1:6" x14ac:dyDescent="0.3">
      <c r="A1103">
        <v>1102</v>
      </c>
      <c r="B1103" t="s">
        <v>25</v>
      </c>
      <c r="C1103" t="s">
        <v>7</v>
      </c>
      <c r="D1103" t="s">
        <v>8</v>
      </c>
      <c r="E1103" t="s">
        <v>9</v>
      </c>
      <c r="F1103" t="s">
        <v>20</v>
      </c>
    </row>
    <row r="1104" spans="1:6" x14ac:dyDescent="0.3">
      <c r="A1104">
        <v>1103</v>
      </c>
      <c r="B1104" t="s">
        <v>16</v>
      </c>
      <c r="C1104" t="s">
        <v>24</v>
      </c>
      <c r="D1104" t="s">
        <v>1</v>
      </c>
      <c r="E1104" t="s">
        <v>26</v>
      </c>
      <c r="F1104" t="s">
        <v>23</v>
      </c>
    </row>
    <row r="1105" spans="1:6" x14ac:dyDescent="0.3">
      <c r="A1105">
        <v>1104</v>
      </c>
      <c r="B1105" t="s">
        <v>25</v>
      </c>
      <c r="C1105" t="s">
        <v>24</v>
      </c>
      <c r="D1105" t="s">
        <v>22</v>
      </c>
      <c r="E1105" t="s">
        <v>15</v>
      </c>
      <c r="F1105" t="s">
        <v>20</v>
      </c>
    </row>
    <row r="1106" spans="1:6" x14ac:dyDescent="0.3">
      <c r="A1106">
        <v>1105</v>
      </c>
      <c r="B1106" t="s">
        <v>6</v>
      </c>
      <c r="C1106" t="s">
        <v>7</v>
      </c>
      <c r="D1106" t="s">
        <v>22</v>
      </c>
      <c r="E1106" t="s">
        <v>19</v>
      </c>
      <c r="F1106" t="s">
        <v>10</v>
      </c>
    </row>
    <row r="1107" spans="1:6" x14ac:dyDescent="0.3">
      <c r="A1107">
        <v>1106</v>
      </c>
      <c r="B1107" t="s">
        <v>11</v>
      </c>
      <c r="C1107" t="s">
        <v>12</v>
      </c>
      <c r="D1107" t="s">
        <v>22</v>
      </c>
      <c r="E1107" t="s">
        <v>9</v>
      </c>
      <c r="F1107" t="s">
        <v>10</v>
      </c>
    </row>
    <row r="1108" spans="1:6" x14ac:dyDescent="0.3">
      <c r="A1108">
        <v>1107</v>
      </c>
      <c r="B1108" t="s">
        <v>6</v>
      </c>
      <c r="C1108" t="s">
        <v>7</v>
      </c>
      <c r="D1108" t="s">
        <v>8</v>
      </c>
      <c r="E1108" t="s">
        <v>21</v>
      </c>
      <c r="F1108" t="s">
        <v>10</v>
      </c>
    </row>
    <row r="1109" spans="1:6" x14ac:dyDescent="0.3">
      <c r="A1109">
        <v>1108</v>
      </c>
      <c r="B1109" t="s">
        <v>18</v>
      </c>
      <c r="C1109" t="s">
        <v>7</v>
      </c>
      <c r="D1109" t="s">
        <v>8</v>
      </c>
      <c r="E1109" t="s">
        <v>19</v>
      </c>
      <c r="F1109" t="s">
        <v>13</v>
      </c>
    </row>
    <row r="1110" spans="1:6" x14ac:dyDescent="0.3">
      <c r="A1110">
        <v>1109</v>
      </c>
      <c r="B1110" t="s">
        <v>11</v>
      </c>
      <c r="C1110" t="s">
        <v>24</v>
      </c>
      <c r="D1110" t="s">
        <v>22</v>
      </c>
      <c r="E1110" t="s">
        <v>26</v>
      </c>
      <c r="F1110" t="s">
        <v>13</v>
      </c>
    </row>
    <row r="1111" spans="1:6" x14ac:dyDescent="0.3">
      <c r="A1111">
        <v>1110</v>
      </c>
      <c r="B1111" t="s">
        <v>11</v>
      </c>
      <c r="C1111" t="s">
        <v>12</v>
      </c>
      <c r="D1111" t="s">
        <v>22</v>
      </c>
      <c r="E1111" t="s">
        <v>21</v>
      </c>
      <c r="F1111" t="s">
        <v>10</v>
      </c>
    </row>
    <row r="1112" spans="1:6" x14ac:dyDescent="0.3">
      <c r="A1112">
        <v>1111</v>
      </c>
      <c r="B1112" t="s">
        <v>16</v>
      </c>
      <c r="C1112" t="s">
        <v>12</v>
      </c>
      <c r="D1112" t="s">
        <v>8</v>
      </c>
      <c r="E1112" t="s">
        <v>9</v>
      </c>
      <c r="F1112" t="s">
        <v>20</v>
      </c>
    </row>
    <row r="1113" spans="1:6" x14ac:dyDescent="0.3">
      <c r="A1113">
        <v>1112</v>
      </c>
      <c r="B1113" t="s">
        <v>16</v>
      </c>
      <c r="C1113" t="s">
        <v>7</v>
      </c>
      <c r="D1113" t="s">
        <v>1</v>
      </c>
      <c r="E1113" t="s">
        <v>15</v>
      </c>
      <c r="F1113" t="s">
        <v>23</v>
      </c>
    </row>
    <row r="1114" spans="1:6" x14ac:dyDescent="0.3">
      <c r="A1114">
        <v>1113</v>
      </c>
      <c r="B1114" t="s">
        <v>14</v>
      </c>
      <c r="C1114" t="s">
        <v>12</v>
      </c>
      <c r="D1114" t="s">
        <v>8</v>
      </c>
      <c r="E1114" t="s">
        <v>21</v>
      </c>
      <c r="F1114" t="s">
        <v>23</v>
      </c>
    </row>
    <row r="1115" spans="1:6" x14ac:dyDescent="0.3">
      <c r="A1115">
        <v>1114</v>
      </c>
      <c r="B1115" t="s">
        <v>14</v>
      </c>
      <c r="C1115" t="s">
        <v>7</v>
      </c>
      <c r="D1115" t="s">
        <v>1</v>
      </c>
      <c r="E1115" t="s">
        <v>21</v>
      </c>
      <c r="F1115" t="s">
        <v>20</v>
      </c>
    </row>
    <row r="1116" spans="1:6" x14ac:dyDescent="0.3">
      <c r="A1116">
        <v>1115</v>
      </c>
      <c r="B1116" t="s">
        <v>14</v>
      </c>
      <c r="C1116" t="s">
        <v>12</v>
      </c>
      <c r="D1116" t="s">
        <v>22</v>
      </c>
      <c r="E1116" t="s">
        <v>15</v>
      </c>
      <c r="F1116" t="s">
        <v>20</v>
      </c>
    </row>
    <row r="1117" spans="1:6" x14ac:dyDescent="0.3">
      <c r="A1117">
        <v>1116</v>
      </c>
      <c r="B1117" t="s">
        <v>6</v>
      </c>
      <c r="C1117" t="s">
        <v>12</v>
      </c>
      <c r="D1117" t="s">
        <v>22</v>
      </c>
      <c r="E1117" t="s">
        <v>21</v>
      </c>
      <c r="F1117" t="s">
        <v>23</v>
      </c>
    </row>
    <row r="1118" spans="1:6" x14ac:dyDescent="0.3">
      <c r="A1118">
        <v>1117</v>
      </c>
      <c r="B1118" t="s">
        <v>25</v>
      </c>
      <c r="C1118" t="s">
        <v>7</v>
      </c>
      <c r="D1118" t="s">
        <v>1</v>
      </c>
      <c r="E1118" t="s">
        <v>21</v>
      </c>
      <c r="F1118" t="s">
        <v>10</v>
      </c>
    </row>
    <row r="1119" spans="1:6" x14ac:dyDescent="0.3">
      <c r="A1119">
        <v>1118</v>
      </c>
      <c r="B1119" t="s">
        <v>14</v>
      </c>
      <c r="C1119" t="s">
        <v>7</v>
      </c>
      <c r="D1119" t="s">
        <v>1</v>
      </c>
      <c r="E1119" t="s">
        <v>9</v>
      </c>
      <c r="F1119" t="s">
        <v>13</v>
      </c>
    </row>
    <row r="1120" spans="1:6" x14ac:dyDescent="0.3">
      <c r="A1120">
        <v>1119</v>
      </c>
      <c r="B1120" t="s">
        <v>16</v>
      </c>
      <c r="C1120" t="s">
        <v>12</v>
      </c>
      <c r="D1120" t="s">
        <v>1</v>
      </c>
      <c r="E1120" t="s">
        <v>9</v>
      </c>
      <c r="F1120" t="s">
        <v>23</v>
      </c>
    </row>
    <row r="1121" spans="1:6" x14ac:dyDescent="0.3">
      <c r="A1121">
        <v>1120</v>
      </c>
      <c r="B1121" t="s">
        <v>25</v>
      </c>
      <c r="C1121" t="s">
        <v>12</v>
      </c>
      <c r="D1121" t="s">
        <v>1</v>
      </c>
      <c r="E1121" t="s">
        <v>9</v>
      </c>
      <c r="F1121" t="s">
        <v>13</v>
      </c>
    </row>
    <row r="1122" spans="1:6" x14ac:dyDescent="0.3">
      <c r="A1122">
        <v>1121</v>
      </c>
      <c r="B1122" t="s">
        <v>6</v>
      </c>
      <c r="C1122" t="s">
        <v>24</v>
      </c>
      <c r="D1122" t="s">
        <v>8</v>
      </c>
      <c r="E1122" t="s">
        <v>26</v>
      </c>
      <c r="F1122" t="s">
        <v>20</v>
      </c>
    </row>
    <row r="1123" spans="1:6" x14ac:dyDescent="0.3">
      <c r="A1123">
        <v>1122</v>
      </c>
      <c r="B1123" t="s">
        <v>16</v>
      </c>
      <c r="C1123" t="s">
        <v>12</v>
      </c>
      <c r="D1123" t="s">
        <v>22</v>
      </c>
      <c r="E1123" t="s">
        <v>19</v>
      </c>
      <c r="F1123" t="s">
        <v>10</v>
      </c>
    </row>
    <row r="1124" spans="1:6" x14ac:dyDescent="0.3">
      <c r="A1124">
        <v>1123</v>
      </c>
      <c r="B1124" t="s">
        <v>11</v>
      </c>
      <c r="C1124" t="s">
        <v>7</v>
      </c>
      <c r="D1124" t="s">
        <v>8</v>
      </c>
      <c r="E1124" t="s">
        <v>21</v>
      </c>
      <c r="F1124" t="s">
        <v>23</v>
      </c>
    </row>
    <row r="1125" spans="1:6" x14ac:dyDescent="0.3">
      <c r="A1125">
        <v>1124</v>
      </c>
      <c r="B1125" t="s">
        <v>16</v>
      </c>
      <c r="C1125" t="s">
        <v>24</v>
      </c>
      <c r="D1125" t="s">
        <v>8</v>
      </c>
      <c r="E1125" t="s">
        <v>26</v>
      </c>
      <c r="F1125" t="s">
        <v>13</v>
      </c>
    </row>
    <row r="1126" spans="1:6" x14ac:dyDescent="0.3">
      <c r="A1126">
        <v>1125</v>
      </c>
      <c r="B1126" t="s">
        <v>25</v>
      </c>
      <c r="C1126" t="s">
        <v>12</v>
      </c>
      <c r="D1126" t="s">
        <v>1</v>
      </c>
      <c r="E1126" t="s">
        <v>21</v>
      </c>
      <c r="F1126" t="s">
        <v>23</v>
      </c>
    </row>
    <row r="1127" spans="1:6" x14ac:dyDescent="0.3">
      <c r="A1127">
        <v>1126</v>
      </c>
      <c r="B1127" t="s">
        <v>6</v>
      </c>
      <c r="C1127" t="s">
        <v>7</v>
      </c>
      <c r="D1127" t="s">
        <v>8</v>
      </c>
      <c r="E1127" t="s">
        <v>9</v>
      </c>
      <c r="F1127" t="s">
        <v>10</v>
      </c>
    </row>
    <row r="1128" spans="1:6" x14ac:dyDescent="0.3">
      <c r="A1128">
        <v>1127</v>
      </c>
      <c r="B1128" t="s">
        <v>25</v>
      </c>
      <c r="C1128" t="s">
        <v>12</v>
      </c>
      <c r="D1128" t="s">
        <v>8</v>
      </c>
      <c r="E1128" t="s">
        <v>9</v>
      </c>
      <c r="F1128" t="s">
        <v>10</v>
      </c>
    </row>
    <row r="1129" spans="1:6" x14ac:dyDescent="0.3">
      <c r="A1129">
        <v>1128</v>
      </c>
      <c r="B1129" t="s">
        <v>16</v>
      </c>
      <c r="C1129" t="s">
        <v>12</v>
      </c>
      <c r="D1129" t="s">
        <v>8</v>
      </c>
      <c r="E1129" t="s">
        <v>9</v>
      </c>
      <c r="F1129" t="s">
        <v>23</v>
      </c>
    </row>
    <row r="1130" spans="1:6" x14ac:dyDescent="0.3">
      <c r="A1130">
        <v>1129</v>
      </c>
      <c r="B1130" t="s">
        <v>6</v>
      </c>
      <c r="C1130" t="s">
        <v>12</v>
      </c>
      <c r="D1130" t="s">
        <v>22</v>
      </c>
      <c r="E1130" t="s">
        <v>19</v>
      </c>
      <c r="F1130" t="s">
        <v>10</v>
      </c>
    </row>
    <row r="1131" spans="1:6" x14ac:dyDescent="0.3">
      <c r="A1131">
        <v>1130</v>
      </c>
      <c r="B1131" t="s">
        <v>6</v>
      </c>
      <c r="C1131" t="s">
        <v>7</v>
      </c>
      <c r="D1131" t="s">
        <v>8</v>
      </c>
      <c r="E1131" t="s">
        <v>9</v>
      </c>
      <c r="F1131" t="s">
        <v>13</v>
      </c>
    </row>
    <row r="1132" spans="1:6" x14ac:dyDescent="0.3">
      <c r="A1132">
        <v>1131</v>
      </c>
      <c r="B1132" t="s">
        <v>16</v>
      </c>
      <c r="C1132" t="s">
        <v>12</v>
      </c>
      <c r="D1132" t="s">
        <v>22</v>
      </c>
      <c r="E1132" t="s">
        <v>19</v>
      </c>
      <c r="F1132" t="s">
        <v>10</v>
      </c>
    </row>
    <row r="1133" spans="1:6" x14ac:dyDescent="0.3">
      <c r="A1133">
        <v>1132</v>
      </c>
      <c r="B1133" t="s">
        <v>11</v>
      </c>
      <c r="C1133" t="s">
        <v>7</v>
      </c>
      <c r="D1133" t="s">
        <v>8</v>
      </c>
      <c r="E1133" t="s">
        <v>9</v>
      </c>
      <c r="F1133" t="s">
        <v>20</v>
      </c>
    </row>
    <row r="1134" spans="1:6" x14ac:dyDescent="0.3">
      <c r="A1134">
        <v>1133</v>
      </c>
      <c r="B1134" t="s">
        <v>11</v>
      </c>
      <c r="C1134" t="s">
        <v>24</v>
      </c>
      <c r="D1134" t="s">
        <v>1</v>
      </c>
      <c r="E1134" t="s">
        <v>15</v>
      </c>
      <c r="F1134" t="s">
        <v>20</v>
      </c>
    </row>
    <row r="1135" spans="1:6" x14ac:dyDescent="0.3">
      <c r="A1135">
        <v>1134</v>
      </c>
      <c r="B1135" t="s">
        <v>14</v>
      </c>
      <c r="C1135" t="s">
        <v>7</v>
      </c>
      <c r="D1135" t="s">
        <v>22</v>
      </c>
      <c r="E1135" t="s">
        <v>15</v>
      </c>
      <c r="F1135" t="s">
        <v>13</v>
      </c>
    </row>
    <row r="1136" spans="1:6" x14ac:dyDescent="0.3">
      <c r="A1136">
        <v>1135</v>
      </c>
      <c r="B1136" t="s">
        <v>18</v>
      </c>
      <c r="C1136" t="s">
        <v>12</v>
      </c>
      <c r="D1136" t="s">
        <v>8</v>
      </c>
      <c r="E1136" t="s">
        <v>9</v>
      </c>
      <c r="F1136" t="s">
        <v>10</v>
      </c>
    </row>
    <row r="1137" spans="1:6" x14ac:dyDescent="0.3">
      <c r="A1137">
        <v>1136</v>
      </c>
      <c r="B1137" t="s">
        <v>11</v>
      </c>
      <c r="C1137" t="s">
        <v>12</v>
      </c>
      <c r="D1137" t="s">
        <v>8</v>
      </c>
      <c r="E1137" t="s">
        <v>15</v>
      </c>
      <c r="F1137" t="s">
        <v>13</v>
      </c>
    </row>
    <row r="1138" spans="1:6" x14ac:dyDescent="0.3">
      <c r="A1138">
        <v>1137</v>
      </c>
      <c r="B1138" t="s">
        <v>6</v>
      </c>
      <c r="C1138" t="s">
        <v>7</v>
      </c>
      <c r="D1138" t="s">
        <v>8</v>
      </c>
      <c r="E1138" t="s">
        <v>21</v>
      </c>
      <c r="F1138" t="s">
        <v>10</v>
      </c>
    </row>
    <row r="1139" spans="1:6" x14ac:dyDescent="0.3">
      <c r="A1139">
        <v>1138</v>
      </c>
      <c r="B1139" t="s">
        <v>16</v>
      </c>
      <c r="C1139" t="s">
        <v>12</v>
      </c>
      <c r="D1139" t="s">
        <v>1</v>
      </c>
      <c r="E1139" t="s">
        <v>21</v>
      </c>
      <c r="F1139" t="s">
        <v>20</v>
      </c>
    </row>
    <row r="1140" spans="1:6" x14ac:dyDescent="0.3">
      <c r="A1140">
        <v>1139</v>
      </c>
      <c r="B1140" t="s">
        <v>25</v>
      </c>
      <c r="C1140" t="s">
        <v>7</v>
      </c>
      <c r="D1140" t="s">
        <v>8</v>
      </c>
      <c r="E1140" t="s">
        <v>15</v>
      </c>
      <c r="F1140" t="s">
        <v>13</v>
      </c>
    </row>
    <row r="1141" spans="1:6" x14ac:dyDescent="0.3">
      <c r="A1141">
        <v>1140</v>
      </c>
      <c r="B1141" t="s">
        <v>14</v>
      </c>
      <c r="C1141" t="s">
        <v>12</v>
      </c>
      <c r="D1141" t="s">
        <v>22</v>
      </c>
      <c r="E1141" t="s">
        <v>15</v>
      </c>
      <c r="F1141" t="s">
        <v>13</v>
      </c>
    </row>
    <row r="1142" spans="1:6" x14ac:dyDescent="0.3">
      <c r="A1142">
        <v>1141</v>
      </c>
      <c r="B1142" t="s">
        <v>14</v>
      </c>
      <c r="C1142" t="s">
        <v>12</v>
      </c>
      <c r="D1142" t="s">
        <v>8</v>
      </c>
      <c r="E1142" t="s">
        <v>9</v>
      </c>
      <c r="F1142" t="s">
        <v>20</v>
      </c>
    </row>
    <row r="1143" spans="1:6" x14ac:dyDescent="0.3">
      <c r="A1143">
        <v>1142</v>
      </c>
      <c r="B1143" t="s">
        <v>16</v>
      </c>
      <c r="C1143" t="s">
        <v>12</v>
      </c>
      <c r="D1143" t="s">
        <v>8</v>
      </c>
      <c r="E1143" t="s">
        <v>21</v>
      </c>
      <c r="F1143" t="s">
        <v>23</v>
      </c>
    </row>
    <row r="1144" spans="1:6" x14ac:dyDescent="0.3">
      <c r="A1144">
        <v>1143</v>
      </c>
      <c r="B1144" t="s">
        <v>25</v>
      </c>
      <c r="C1144" t="s">
        <v>7</v>
      </c>
      <c r="D1144" t="s">
        <v>1</v>
      </c>
      <c r="E1144" t="s">
        <v>15</v>
      </c>
      <c r="F1144" t="s">
        <v>23</v>
      </c>
    </row>
    <row r="1145" spans="1:6" x14ac:dyDescent="0.3">
      <c r="A1145">
        <v>1144</v>
      </c>
      <c r="B1145" t="s">
        <v>6</v>
      </c>
      <c r="C1145" t="s">
        <v>12</v>
      </c>
      <c r="D1145" t="s">
        <v>8</v>
      </c>
      <c r="E1145" t="s">
        <v>9</v>
      </c>
      <c r="F1145" t="s">
        <v>20</v>
      </c>
    </row>
    <row r="1146" spans="1:6" x14ac:dyDescent="0.3">
      <c r="A1146">
        <v>1145</v>
      </c>
      <c r="B1146" t="s">
        <v>6</v>
      </c>
      <c r="C1146" t="s">
        <v>12</v>
      </c>
      <c r="D1146" t="s">
        <v>8</v>
      </c>
      <c r="E1146" t="s">
        <v>19</v>
      </c>
      <c r="F1146" t="s">
        <v>10</v>
      </c>
    </row>
    <row r="1147" spans="1:6" x14ac:dyDescent="0.3">
      <c r="A1147">
        <v>1146</v>
      </c>
      <c r="B1147" t="s">
        <v>11</v>
      </c>
      <c r="C1147" t="s">
        <v>12</v>
      </c>
      <c r="D1147" t="s">
        <v>1</v>
      </c>
      <c r="E1147" t="s">
        <v>19</v>
      </c>
      <c r="F1147" t="s">
        <v>10</v>
      </c>
    </row>
    <row r="1148" spans="1:6" x14ac:dyDescent="0.3">
      <c r="A1148">
        <v>1147</v>
      </c>
      <c r="B1148" t="s">
        <v>11</v>
      </c>
      <c r="C1148" t="s">
        <v>12</v>
      </c>
      <c r="D1148" t="s">
        <v>8</v>
      </c>
      <c r="E1148" t="s">
        <v>21</v>
      </c>
      <c r="F1148" t="s">
        <v>20</v>
      </c>
    </row>
    <row r="1149" spans="1:6" x14ac:dyDescent="0.3">
      <c r="A1149">
        <v>1148</v>
      </c>
      <c r="B1149" t="s">
        <v>6</v>
      </c>
      <c r="C1149" t="s">
        <v>24</v>
      </c>
      <c r="D1149" t="s">
        <v>1</v>
      </c>
      <c r="E1149" t="s">
        <v>26</v>
      </c>
      <c r="F1149" t="s">
        <v>10</v>
      </c>
    </row>
    <row r="1150" spans="1:6" x14ac:dyDescent="0.3">
      <c r="A1150">
        <v>1149</v>
      </c>
      <c r="B1150" t="s">
        <v>16</v>
      </c>
      <c r="C1150" t="s">
        <v>24</v>
      </c>
      <c r="D1150" t="s">
        <v>8</v>
      </c>
      <c r="E1150" t="s">
        <v>26</v>
      </c>
      <c r="F1150" t="s">
        <v>23</v>
      </c>
    </row>
    <row r="1151" spans="1:6" x14ac:dyDescent="0.3">
      <c r="A1151">
        <v>1150</v>
      </c>
      <c r="B1151" t="s">
        <v>6</v>
      </c>
      <c r="C1151" t="s">
        <v>7</v>
      </c>
      <c r="D1151" t="s">
        <v>8</v>
      </c>
      <c r="E1151" t="s">
        <v>21</v>
      </c>
      <c r="F1151" t="s">
        <v>23</v>
      </c>
    </row>
    <row r="1152" spans="1:6" x14ac:dyDescent="0.3">
      <c r="A1152">
        <v>1151</v>
      </c>
      <c r="B1152" t="s">
        <v>16</v>
      </c>
      <c r="C1152" t="s">
        <v>7</v>
      </c>
      <c r="D1152" t="s">
        <v>8</v>
      </c>
      <c r="E1152" t="s">
        <v>9</v>
      </c>
      <c r="F1152" t="s">
        <v>13</v>
      </c>
    </row>
    <row r="1153" spans="1:6" x14ac:dyDescent="0.3">
      <c r="A1153">
        <v>1152</v>
      </c>
      <c r="B1153" t="s">
        <v>25</v>
      </c>
      <c r="C1153" t="s">
        <v>7</v>
      </c>
      <c r="D1153" t="s">
        <v>1</v>
      </c>
      <c r="E1153" t="s">
        <v>9</v>
      </c>
      <c r="F1153" t="s">
        <v>13</v>
      </c>
    </row>
    <row r="1154" spans="1:6" x14ac:dyDescent="0.3">
      <c r="A1154">
        <v>1153</v>
      </c>
      <c r="B1154" t="s">
        <v>11</v>
      </c>
      <c r="C1154" t="s">
        <v>12</v>
      </c>
      <c r="D1154" t="s">
        <v>8</v>
      </c>
      <c r="E1154" t="s">
        <v>9</v>
      </c>
      <c r="F1154" t="s">
        <v>20</v>
      </c>
    </row>
    <row r="1155" spans="1:6" x14ac:dyDescent="0.3">
      <c r="A1155">
        <v>1154</v>
      </c>
      <c r="B1155" t="s">
        <v>6</v>
      </c>
      <c r="C1155" t="s">
        <v>12</v>
      </c>
      <c r="D1155" t="s">
        <v>1</v>
      </c>
      <c r="E1155" t="s">
        <v>9</v>
      </c>
      <c r="F1155" t="s">
        <v>23</v>
      </c>
    </row>
    <row r="1156" spans="1:6" x14ac:dyDescent="0.3">
      <c r="A1156">
        <v>1155</v>
      </c>
      <c r="B1156" t="s">
        <v>11</v>
      </c>
      <c r="C1156" t="s">
        <v>12</v>
      </c>
      <c r="D1156" t="s">
        <v>8</v>
      </c>
      <c r="E1156" t="s">
        <v>15</v>
      </c>
      <c r="F1156" t="s">
        <v>23</v>
      </c>
    </row>
    <row r="1157" spans="1:6" x14ac:dyDescent="0.3">
      <c r="A1157">
        <v>1156</v>
      </c>
      <c r="B1157" t="s">
        <v>16</v>
      </c>
      <c r="C1157" t="s">
        <v>7</v>
      </c>
      <c r="D1157" t="s">
        <v>8</v>
      </c>
      <c r="E1157" t="s">
        <v>21</v>
      </c>
      <c r="F1157" t="s">
        <v>20</v>
      </c>
    </row>
    <row r="1158" spans="1:6" x14ac:dyDescent="0.3">
      <c r="A1158">
        <v>1157</v>
      </c>
      <c r="B1158" t="s">
        <v>14</v>
      </c>
      <c r="C1158" t="s">
        <v>12</v>
      </c>
      <c r="D1158" t="s">
        <v>1</v>
      </c>
      <c r="E1158" t="s">
        <v>15</v>
      </c>
      <c r="F1158" t="s">
        <v>13</v>
      </c>
    </row>
    <row r="1159" spans="1:6" x14ac:dyDescent="0.3">
      <c r="A1159">
        <v>1158</v>
      </c>
      <c r="B1159" t="s">
        <v>25</v>
      </c>
      <c r="C1159" t="s">
        <v>7</v>
      </c>
      <c r="D1159" t="s">
        <v>22</v>
      </c>
      <c r="E1159" t="s">
        <v>21</v>
      </c>
      <c r="F1159" t="s">
        <v>10</v>
      </c>
    </row>
    <row r="1160" spans="1:6" x14ac:dyDescent="0.3">
      <c r="A1160">
        <v>1159</v>
      </c>
      <c r="B1160" t="s">
        <v>18</v>
      </c>
      <c r="C1160" t="s">
        <v>7</v>
      </c>
      <c r="D1160" t="s">
        <v>8</v>
      </c>
      <c r="E1160" t="s">
        <v>19</v>
      </c>
      <c r="F1160" t="s">
        <v>20</v>
      </c>
    </row>
    <row r="1161" spans="1:6" x14ac:dyDescent="0.3">
      <c r="A1161">
        <v>1160</v>
      </c>
      <c r="B1161" t="s">
        <v>11</v>
      </c>
      <c r="C1161" t="s">
        <v>24</v>
      </c>
      <c r="D1161" t="s">
        <v>8</v>
      </c>
      <c r="E1161" t="s">
        <v>26</v>
      </c>
      <c r="F1161" t="s">
        <v>20</v>
      </c>
    </row>
    <row r="1162" spans="1:6" x14ac:dyDescent="0.3">
      <c r="A1162">
        <v>1161</v>
      </c>
      <c r="B1162" t="s">
        <v>14</v>
      </c>
      <c r="C1162" t="s">
        <v>12</v>
      </c>
      <c r="D1162" t="s">
        <v>22</v>
      </c>
      <c r="E1162" t="s">
        <v>15</v>
      </c>
      <c r="F1162" t="s">
        <v>23</v>
      </c>
    </row>
    <row r="1163" spans="1:6" x14ac:dyDescent="0.3">
      <c r="A1163">
        <v>1162</v>
      </c>
      <c r="B1163" t="s">
        <v>6</v>
      </c>
      <c r="C1163" t="s">
        <v>12</v>
      </c>
      <c r="D1163" t="s">
        <v>8</v>
      </c>
      <c r="E1163" t="s">
        <v>9</v>
      </c>
      <c r="F1163" t="s">
        <v>13</v>
      </c>
    </row>
    <row r="1164" spans="1:6" x14ac:dyDescent="0.3">
      <c r="A1164">
        <v>1163</v>
      </c>
      <c r="B1164" t="s">
        <v>11</v>
      </c>
      <c r="C1164" t="s">
        <v>7</v>
      </c>
      <c r="D1164" t="s">
        <v>1</v>
      </c>
      <c r="E1164" t="s">
        <v>21</v>
      </c>
      <c r="F1164" t="s">
        <v>13</v>
      </c>
    </row>
    <row r="1165" spans="1:6" x14ac:dyDescent="0.3">
      <c r="A1165">
        <v>1164</v>
      </c>
      <c r="B1165" t="s">
        <v>11</v>
      </c>
      <c r="C1165" t="s">
        <v>7</v>
      </c>
      <c r="D1165" t="s">
        <v>22</v>
      </c>
      <c r="E1165" t="s">
        <v>9</v>
      </c>
      <c r="F1165" t="s">
        <v>10</v>
      </c>
    </row>
    <row r="1166" spans="1:6" x14ac:dyDescent="0.3">
      <c r="A1166">
        <v>1165</v>
      </c>
      <c r="B1166" t="s">
        <v>6</v>
      </c>
      <c r="C1166" t="s">
        <v>24</v>
      </c>
      <c r="D1166" t="s">
        <v>8</v>
      </c>
      <c r="E1166" t="s">
        <v>26</v>
      </c>
      <c r="F1166" t="s">
        <v>10</v>
      </c>
    </row>
    <row r="1167" spans="1:6" x14ac:dyDescent="0.3">
      <c r="A1167">
        <v>1166</v>
      </c>
      <c r="B1167" t="s">
        <v>16</v>
      </c>
      <c r="C1167" t="s">
        <v>7</v>
      </c>
      <c r="D1167" t="s">
        <v>22</v>
      </c>
      <c r="E1167" t="s">
        <v>9</v>
      </c>
      <c r="F1167" t="s">
        <v>10</v>
      </c>
    </row>
    <row r="1168" spans="1:6" x14ac:dyDescent="0.3">
      <c r="A1168">
        <v>1167</v>
      </c>
      <c r="B1168" t="s">
        <v>18</v>
      </c>
      <c r="C1168" t="s">
        <v>12</v>
      </c>
      <c r="D1168" t="s">
        <v>22</v>
      </c>
      <c r="E1168" t="s">
        <v>9</v>
      </c>
      <c r="F1168" t="s">
        <v>20</v>
      </c>
    </row>
    <row r="1169" spans="1:6" x14ac:dyDescent="0.3">
      <c r="A1169">
        <v>1168</v>
      </c>
      <c r="B1169" t="s">
        <v>18</v>
      </c>
      <c r="C1169" t="s">
        <v>12</v>
      </c>
      <c r="D1169" t="s">
        <v>22</v>
      </c>
      <c r="E1169" t="s">
        <v>21</v>
      </c>
      <c r="F1169" t="s">
        <v>20</v>
      </c>
    </row>
    <row r="1170" spans="1:6" x14ac:dyDescent="0.3">
      <c r="A1170">
        <v>1169</v>
      </c>
      <c r="B1170" t="s">
        <v>16</v>
      </c>
      <c r="C1170" t="s">
        <v>12</v>
      </c>
      <c r="D1170" t="s">
        <v>8</v>
      </c>
      <c r="E1170" t="s">
        <v>19</v>
      </c>
      <c r="F1170" t="s">
        <v>10</v>
      </c>
    </row>
    <row r="1171" spans="1:6" x14ac:dyDescent="0.3">
      <c r="A1171">
        <v>1170</v>
      </c>
      <c r="B1171" t="s">
        <v>11</v>
      </c>
      <c r="C1171" t="s">
        <v>7</v>
      </c>
      <c r="D1171" t="s">
        <v>8</v>
      </c>
      <c r="E1171" t="s">
        <v>9</v>
      </c>
      <c r="F1171" t="s">
        <v>13</v>
      </c>
    </row>
    <row r="1172" spans="1:6" x14ac:dyDescent="0.3">
      <c r="A1172">
        <v>1171</v>
      </c>
      <c r="B1172" t="s">
        <v>11</v>
      </c>
      <c r="C1172" t="s">
        <v>12</v>
      </c>
      <c r="D1172" t="s">
        <v>1</v>
      </c>
      <c r="E1172" t="s">
        <v>9</v>
      </c>
      <c r="F1172" t="s">
        <v>10</v>
      </c>
    </row>
    <row r="1173" spans="1:6" x14ac:dyDescent="0.3">
      <c r="A1173">
        <v>1172</v>
      </c>
      <c r="B1173" t="s">
        <v>16</v>
      </c>
      <c r="C1173" t="s">
        <v>7</v>
      </c>
      <c r="D1173" t="s">
        <v>8</v>
      </c>
      <c r="E1173" t="s">
        <v>9</v>
      </c>
      <c r="F1173" t="s">
        <v>13</v>
      </c>
    </row>
    <row r="1174" spans="1:6" x14ac:dyDescent="0.3">
      <c r="A1174">
        <v>1173</v>
      </c>
      <c r="B1174" t="s">
        <v>16</v>
      </c>
      <c r="C1174" t="s">
        <v>12</v>
      </c>
      <c r="D1174" t="s">
        <v>8</v>
      </c>
      <c r="E1174" t="s">
        <v>15</v>
      </c>
      <c r="F1174" t="s">
        <v>23</v>
      </c>
    </row>
    <row r="1175" spans="1:6" x14ac:dyDescent="0.3">
      <c r="A1175">
        <v>1174</v>
      </c>
      <c r="B1175" t="s">
        <v>18</v>
      </c>
      <c r="C1175" t="s">
        <v>7</v>
      </c>
      <c r="D1175" t="s">
        <v>1</v>
      </c>
      <c r="E1175" t="s">
        <v>21</v>
      </c>
      <c r="F1175" t="s">
        <v>20</v>
      </c>
    </row>
    <row r="1176" spans="1:6" x14ac:dyDescent="0.3">
      <c r="A1176">
        <v>1175</v>
      </c>
      <c r="B1176" t="s">
        <v>14</v>
      </c>
      <c r="C1176" t="s">
        <v>7</v>
      </c>
      <c r="D1176" t="s">
        <v>8</v>
      </c>
      <c r="E1176" t="s">
        <v>9</v>
      </c>
      <c r="F1176" t="s">
        <v>23</v>
      </c>
    </row>
    <row r="1177" spans="1:6" x14ac:dyDescent="0.3">
      <c r="A1177">
        <v>1176</v>
      </c>
      <c r="B1177" t="s">
        <v>18</v>
      </c>
      <c r="C1177" t="s">
        <v>7</v>
      </c>
      <c r="D1177" t="s">
        <v>8</v>
      </c>
      <c r="E1177" t="s">
        <v>19</v>
      </c>
      <c r="F1177" t="s">
        <v>23</v>
      </c>
    </row>
    <row r="1178" spans="1:6" x14ac:dyDescent="0.3">
      <c r="A1178">
        <v>1177</v>
      </c>
      <c r="B1178" t="s">
        <v>14</v>
      </c>
      <c r="C1178" t="s">
        <v>12</v>
      </c>
      <c r="D1178" t="s">
        <v>1</v>
      </c>
      <c r="E1178" t="s">
        <v>9</v>
      </c>
      <c r="F1178" t="s">
        <v>13</v>
      </c>
    </row>
    <row r="1179" spans="1:6" x14ac:dyDescent="0.3">
      <c r="A1179">
        <v>1178</v>
      </c>
      <c r="B1179" t="s">
        <v>14</v>
      </c>
      <c r="C1179" t="s">
        <v>7</v>
      </c>
      <c r="D1179" t="s">
        <v>8</v>
      </c>
      <c r="E1179" t="s">
        <v>9</v>
      </c>
      <c r="F1179" t="s">
        <v>20</v>
      </c>
    </row>
    <row r="1180" spans="1:6" x14ac:dyDescent="0.3">
      <c r="A1180">
        <v>1179</v>
      </c>
      <c r="B1180" t="s">
        <v>16</v>
      </c>
      <c r="C1180" t="s">
        <v>12</v>
      </c>
      <c r="D1180" t="s">
        <v>1</v>
      </c>
      <c r="E1180" t="s">
        <v>9</v>
      </c>
      <c r="F1180" t="s">
        <v>23</v>
      </c>
    </row>
    <row r="1181" spans="1:6" x14ac:dyDescent="0.3">
      <c r="A1181">
        <v>1180</v>
      </c>
      <c r="B1181" t="s">
        <v>11</v>
      </c>
      <c r="C1181" t="s">
        <v>12</v>
      </c>
      <c r="D1181" t="s">
        <v>1</v>
      </c>
      <c r="E1181" t="s">
        <v>15</v>
      </c>
      <c r="F1181" t="s">
        <v>13</v>
      </c>
    </row>
    <row r="1182" spans="1:6" x14ac:dyDescent="0.3">
      <c r="A1182">
        <v>1181</v>
      </c>
      <c r="B1182" t="s">
        <v>25</v>
      </c>
      <c r="C1182" t="s">
        <v>7</v>
      </c>
      <c r="D1182" t="s">
        <v>8</v>
      </c>
      <c r="E1182" t="s">
        <v>9</v>
      </c>
      <c r="F1182" t="s">
        <v>13</v>
      </c>
    </row>
    <row r="1183" spans="1:6" x14ac:dyDescent="0.3">
      <c r="A1183">
        <v>1182</v>
      </c>
      <c r="B1183" t="s">
        <v>16</v>
      </c>
      <c r="C1183" t="s">
        <v>12</v>
      </c>
      <c r="D1183" t="s">
        <v>1</v>
      </c>
      <c r="E1183" t="s">
        <v>9</v>
      </c>
      <c r="F1183" t="s">
        <v>13</v>
      </c>
    </row>
    <row r="1184" spans="1:6" x14ac:dyDescent="0.3">
      <c r="A1184">
        <v>1183</v>
      </c>
      <c r="B1184" t="s">
        <v>14</v>
      </c>
      <c r="C1184" t="s">
        <v>12</v>
      </c>
      <c r="D1184" t="s">
        <v>8</v>
      </c>
      <c r="E1184" t="s">
        <v>9</v>
      </c>
      <c r="F1184" t="s">
        <v>10</v>
      </c>
    </row>
    <row r="1185" spans="1:6" x14ac:dyDescent="0.3">
      <c r="A1185">
        <v>1184</v>
      </c>
      <c r="B1185" t="s">
        <v>6</v>
      </c>
      <c r="C1185" t="s">
        <v>7</v>
      </c>
      <c r="D1185" t="s">
        <v>8</v>
      </c>
      <c r="E1185" t="s">
        <v>9</v>
      </c>
      <c r="F1185" t="s">
        <v>13</v>
      </c>
    </row>
    <row r="1186" spans="1:6" x14ac:dyDescent="0.3">
      <c r="A1186">
        <v>1185</v>
      </c>
      <c r="B1186" t="s">
        <v>11</v>
      </c>
      <c r="C1186" t="s">
        <v>7</v>
      </c>
      <c r="D1186" t="s">
        <v>22</v>
      </c>
      <c r="E1186" t="s">
        <v>15</v>
      </c>
      <c r="F1186" t="s">
        <v>23</v>
      </c>
    </row>
    <row r="1187" spans="1:6" x14ac:dyDescent="0.3">
      <c r="A1187">
        <v>1186</v>
      </c>
      <c r="B1187" t="s">
        <v>6</v>
      </c>
      <c r="C1187" t="s">
        <v>24</v>
      </c>
      <c r="D1187" t="s">
        <v>8</v>
      </c>
      <c r="E1187" t="s">
        <v>26</v>
      </c>
      <c r="F1187" t="s">
        <v>20</v>
      </c>
    </row>
    <row r="1188" spans="1:6" x14ac:dyDescent="0.3">
      <c r="A1188">
        <v>1187</v>
      </c>
      <c r="B1188" t="s">
        <v>14</v>
      </c>
      <c r="C1188" t="s">
        <v>12</v>
      </c>
      <c r="D1188" t="s">
        <v>22</v>
      </c>
      <c r="E1188" t="s">
        <v>19</v>
      </c>
      <c r="F1188" t="s">
        <v>10</v>
      </c>
    </row>
    <row r="1189" spans="1:6" x14ac:dyDescent="0.3">
      <c r="A1189">
        <v>1188</v>
      </c>
      <c r="B1189" t="s">
        <v>18</v>
      </c>
      <c r="C1189" t="s">
        <v>7</v>
      </c>
      <c r="D1189" t="s">
        <v>8</v>
      </c>
      <c r="E1189" t="s">
        <v>21</v>
      </c>
      <c r="F1189" t="s">
        <v>13</v>
      </c>
    </row>
    <row r="1190" spans="1:6" x14ac:dyDescent="0.3">
      <c r="A1190">
        <v>1189</v>
      </c>
      <c r="B1190" t="s">
        <v>14</v>
      </c>
      <c r="C1190" t="s">
        <v>12</v>
      </c>
      <c r="D1190" t="s">
        <v>8</v>
      </c>
      <c r="E1190" t="s">
        <v>15</v>
      </c>
      <c r="F1190" t="s">
        <v>23</v>
      </c>
    </row>
    <row r="1191" spans="1:6" x14ac:dyDescent="0.3">
      <c r="A1191">
        <v>1190</v>
      </c>
      <c r="B1191" t="s">
        <v>6</v>
      </c>
      <c r="C1191" t="s">
        <v>12</v>
      </c>
      <c r="D1191" t="s">
        <v>22</v>
      </c>
      <c r="E1191" t="s">
        <v>9</v>
      </c>
      <c r="F1191" t="s">
        <v>10</v>
      </c>
    </row>
    <row r="1192" spans="1:6" x14ac:dyDescent="0.3">
      <c r="A1192">
        <v>1191</v>
      </c>
      <c r="B1192" t="s">
        <v>11</v>
      </c>
      <c r="C1192" t="s">
        <v>7</v>
      </c>
      <c r="D1192" t="s">
        <v>8</v>
      </c>
      <c r="E1192" t="s">
        <v>9</v>
      </c>
      <c r="F1192" t="s">
        <v>23</v>
      </c>
    </row>
    <row r="1193" spans="1:6" x14ac:dyDescent="0.3">
      <c r="A1193">
        <v>1192</v>
      </c>
      <c r="B1193" t="s">
        <v>25</v>
      </c>
      <c r="C1193" t="s">
        <v>24</v>
      </c>
      <c r="D1193" t="s">
        <v>8</v>
      </c>
      <c r="E1193" t="s">
        <v>15</v>
      </c>
      <c r="F1193" t="s">
        <v>20</v>
      </c>
    </row>
    <row r="1194" spans="1:6" x14ac:dyDescent="0.3">
      <c r="A1194">
        <v>1193</v>
      </c>
      <c r="B1194" t="s">
        <v>14</v>
      </c>
      <c r="C1194" t="s">
        <v>7</v>
      </c>
      <c r="D1194" t="s">
        <v>22</v>
      </c>
      <c r="E1194" t="s">
        <v>9</v>
      </c>
      <c r="F1194" t="s">
        <v>10</v>
      </c>
    </row>
    <row r="1195" spans="1:6" x14ac:dyDescent="0.3">
      <c r="A1195">
        <v>1194</v>
      </c>
      <c r="B1195" t="s">
        <v>25</v>
      </c>
      <c r="C1195" t="s">
        <v>12</v>
      </c>
      <c r="D1195" t="s">
        <v>22</v>
      </c>
      <c r="E1195" t="s">
        <v>21</v>
      </c>
      <c r="F1195" t="s">
        <v>20</v>
      </c>
    </row>
    <row r="1196" spans="1:6" x14ac:dyDescent="0.3">
      <c r="A1196">
        <v>1195</v>
      </c>
      <c r="B1196" t="s">
        <v>25</v>
      </c>
      <c r="C1196" t="s">
        <v>24</v>
      </c>
      <c r="D1196" t="s">
        <v>22</v>
      </c>
      <c r="E1196" t="s">
        <v>15</v>
      </c>
      <c r="F1196" t="s">
        <v>23</v>
      </c>
    </row>
    <row r="1197" spans="1:6" x14ac:dyDescent="0.3">
      <c r="A1197">
        <v>1196</v>
      </c>
      <c r="B1197" t="s">
        <v>6</v>
      </c>
      <c r="C1197" t="s">
        <v>7</v>
      </c>
      <c r="D1197" t="s">
        <v>22</v>
      </c>
      <c r="E1197" t="s">
        <v>9</v>
      </c>
      <c r="F1197" t="s">
        <v>10</v>
      </c>
    </row>
    <row r="1198" spans="1:6" x14ac:dyDescent="0.3">
      <c r="A1198">
        <v>1197</v>
      </c>
      <c r="B1198" t="s">
        <v>14</v>
      </c>
      <c r="C1198" t="s">
        <v>7</v>
      </c>
      <c r="D1198" t="s">
        <v>22</v>
      </c>
      <c r="E1198" t="s">
        <v>21</v>
      </c>
      <c r="F1198" t="s">
        <v>10</v>
      </c>
    </row>
    <row r="1199" spans="1:6" x14ac:dyDescent="0.3">
      <c r="A1199">
        <v>1198</v>
      </c>
      <c r="B1199" t="s">
        <v>11</v>
      </c>
      <c r="C1199" t="s">
        <v>24</v>
      </c>
      <c r="D1199" t="s">
        <v>22</v>
      </c>
      <c r="E1199" t="s">
        <v>15</v>
      </c>
      <c r="F1199" t="s">
        <v>13</v>
      </c>
    </row>
    <row r="1200" spans="1:6" x14ac:dyDescent="0.3">
      <c r="A1200">
        <v>1199</v>
      </c>
      <c r="B1200" t="s">
        <v>6</v>
      </c>
      <c r="C1200" t="s">
        <v>7</v>
      </c>
      <c r="D1200" t="s">
        <v>8</v>
      </c>
      <c r="E1200" t="s">
        <v>9</v>
      </c>
      <c r="F1200" t="s">
        <v>10</v>
      </c>
    </row>
    <row r="1201" spans="1:6" x14ac:dyDescent="0.3">
      <c r="A1201">
        <v>1200</v>
      </c>
      <c r="B1201" t="s">
        <v>25</v>
      </c>
      <c r="C1201" t="s">
        <v>12</v>
      </c>
      <c r="D1201" t="s">
        <v>8</v>
      </c>
      <c r="E1201" t="s">
        <v>19</v>
      </c>
      <c r="F1201" t="s">
        <v>10</v>
      </c>
    </row>
    <row r="1202" spans="1:6" x14ac:dyDescent="0.3">
      <c r="A1202">
        <v>1201</v>
      </c>
      <c r="B1202" t="s">
        <v>14</v>
      </c>
      <c r="C1202" t="s">
        <v>12</v>
      </c>
      <c r="D1202" t="s">
        <v>1</v>
      </c>
      <c r="E1202" t="s">
        <v>9</v>
      </c>
      <c r="F1202" t="s">
        <v>13</v>
      </c>
    </row>
    <row r="1203" spans="1:6" x14ac:dyDescent="0.3">
      <c r="A1203">
        <v>1202</v>
      </c>
      <c r="B1203" t="s">
        <v>14</v>
      </c>
      <c r="C1203" t="s">
        <v>7</v>
      </c>
      <c r="D1203" t="s">
        <v>8</v>
      </c>
      <c r="E1203" t="s">
        <v>9</v>
      </c>
      <c r="F1203" t="s">
        <v>23</v>
      </c>
    </row>
    <row r="1204" spans="1:6" x14ac:dyDescent="0.3">
      <c r="A1204">
        <v>1203</v>
      </c>
      <c r="B1204" t="s">
        <v>16</v>
      </c>
      <c r="C1204" t="s">
        <v>7</v>
      </c>
      <c r="D1204" t="s">
        <v>8</v>
      </c>
      <c r="E1204" t="s">
        <v>9</v>
      </c>
      <c r="F1204" t="s">
        <v>10</v>
      </c>
    </row>
    <row r="1205" spans="1:6" x14ac:dyDescent="0.3">
      <c r="A1205">
        <v>1204</v>
      </c>
      <c r="B1205" t="s">
        <v>11</v>
      </c>
      <c r="C1205" t="s">
        <v>24</v>
      </c>
      <c r="D1205" t="s">
        <v>22</v>
      </c>
      <c r="E1205" t="s">
        <v>15</v>
      </c>
      <c r="F1205" t="s">
        <v>23</v>
      </c>
    </row>
    <row r="1206" spans="1:6" x14ac:dyDescent="0.3">
      <c r="A1206">
        <v>1205</v>
      </c>
      <c r="B1206" t="s">
        <v>25</v>
      </c>
      <c r="C1206" t="s">
        <v>12</v>
      </c>
      <c r="D1206" t="s">
        <v>1</v>
      </c>
      <c r="E1206" t="s">
        <v>15</v>
      </c>
      <c r="F1206" t="s">
        <v>23</v>
      </c>
    </row>
    <row r="1207" spans="1:6" x14ac:dyDescent="0.3">
      <c r="A1207">
        <v>1206</v>
      </c>
      <c r="B1207" t="s">
        <v>6</v>
      </c>
      <c r="C1207" t="s">
        <v>12</v>
      </c>
      <c r="D1207" t="s">
        <v>8</v>
      </c>
      <c r="E1207" t="s">
        <v>9</v>
      </c>
      <c r="F1207" t="s">
        <v>23</v>
      </c>
    </row>
    <row r="1208" spans="1:6" x14ac:dyDescent="0.3">
      <c r="A1208">
        <v>1207</v>
      </c>
      <c r="B1208" t="s">
        <v>25</v>
      </c>
      <c r="C1208" t="s">
        <v>12</v>
      </c>
      <c r="D1208" t="s">
        <v>22</v>
      </c>
      <c r="E1208" t="s">
        <v>15</v>
      </c>
      <c r="F1208" t="s">
        <v>20</v>
      </c>
    </row>
    <row r="1209" spans="1:6" x14ac:dyDescent="0.3">
      <c r="A1209">
        <v>1208</v>
      </c>
      <c r="B1209" t="s">
        <v>25</v>
      </c>
      <c r="C1209" t="s">
        <v>7</v>
      </c>
      <c r="D1209" t="s">
        <v>8</v>
      </c>
      <c r="E1209" t="s">
        <v>9</v>
      </c>
      <c r="F1209" t="s">
        <v>10</v>
      </c>
    </row>
    <row r="1210" spans="1:6" x14ac:dyDescent="0.3">
      <c r="A1210">
        <v>1209</v>
      </c>
      <c r="B1210" t="s">
        <v>16</v>
      </c>
      <c r="C1210" t="s">
        <v>7</v>
      </c>
      <c r="D1210" t="s">
        <v>22</v>
      </c>
      <c r="E1210" t="s">
        <v>9</v>
      </c>
      <c r="F1210" t="s">
        <v>23</v>
      </c>
    </row>
    <row r="1211" spans="1:6" x14ac:dyDescent="0.3">
      <c r="A1211">
        <v>1210</v>
      </c>
      <c r="B1211" t="s">
        <v>18</v>
      </c>
      <c r="C1211" t="s">
        <v>7</v>
      </c>
      <c r="D1211" t="s">
        <v>22</v>
      </c>
      <c r="E1211" t="s">
        <v>9</v>
      </c>
      <c r="F1211" t="s">
        <v>23</v>
      </c>
    </row>
    <row r="1212" spans="1:6" x14ac:dyDescent="0.3">
      <c r="A1212">
        <v>1211</v>
      </c>
      <c r="B1212" t="s">
        <v>14</v>
      </c>
      <c r="C1212" t="s">
        <v>7</v>
      </c>
      <c r="D1212" t="s">
        <v>1</v>
      </c>
      <c r="E1212" t="s">
        <v>21</v>
      </c>
      <c r="F1212" t="s">
        <v>20</v>
      </c>
    </row>
    <row r="1213" spans="1:6" x14ac:dyDescent="0.3">
      <c r="A1213">
        <v>1212</v>
      </c>
      <c r="B1213" t="s">
        <v>11</v>
      </c>
      <c r="C1213" t="s">
        <v>12</v>
      </c>
      <c r="D1213" t="s">
        <v>22</v>
      </c>
      <c r="E1213" t="s">
        <v>21</v>
      </c>
      <c r="F1213" t="s">
        <v>13</v>
      </c>
    </row>
    <row r="1214" spans="1:6" x14ac:dyDescent="0.3">
      <c r="A1214">
        <v>1213</v>
      </c>
      <c r="B1214" t="s">
        <v>18</v>
      </c>
      <c r="C1214" t="s">
        <v>7</v>
      </c>
      <c r="D1214" t="s">
        <v>22</v>
      </c>
      <c r="E1214" t="s">
        <v>21</v>
      </c>
      <c r="F1214" t="s">
        <v>10</v>
      </c>
    </row>
    <row r="1215" spans="1:6" x14ac:dyDescent="0.3">
      <c r="A1215">
        <v>1214</v>
      </c>
      <c r="B1215" t="s">
        <v>16</v>
      </c>
      <c r="C1215" t="s">
        <v>24</v>
      </c>
      <c r="D1215" t="s">
        <v>1</v>
      </c>
      <c r="E1215" t="s">
        <v>15</v>
      </c>
      <c r="F1215" t="s">
        <v>23</v>
      </c>
    </row>
    <row r="1216" spans="1:6" x14ac:dyDescent="0.3">
      <c r="A1216">
        <v>1215</v>
      </c>
      <c r="B1216" t="s">
        <v>16</v>
      </c>
      <c r="C1216" t="s">
        <v>24</v>
      </c>
      <c r="D1216" t="s">
        <v>1</v>
      </c>
      <c r="E1216" t="s">
        <v>15</v>
      </c>
      <c r="F1216" t="s">
        <v>13</v>
      </c>
    </row>
    <row r="1217" spans="1:6" x14ac:dyDescent="0.3">
      <c r="A1217">
        <v>1216</v>
      </c>
      <c r="B1217" t="s">
        <v>18</v>
      </c>
      <c r="C1217" t="s">
        <v>12</v>
      </c>
      <c r="D1217" t="s">
        <v>8</v>
      </c>
      <c r="E1217" t="s">
        <v>21</v>
      </c>
      <c r="F1217" t="s">
        <v>20</v>
      </c>
    </row>
    <row r="1218" spans="1:6" x14ac:dyDescent="0.3">
      <c r="A1218">
        <v>1217</v>
      </c>
      <c r="B1218" t="s">
        <v>14</v>
      </c>
      <c r="C1218" t="s">
        <v>12</v>
      </c>
      <c r="D1218" t="s">
        <v>22</v>
      </c>
      <c r="E1218" t="s">
        <v>21</v>
      </c>
      <c r="F1218" t="s">
        <v>13</v>
      </c>
    </row>
    <row r="1219" spans="1:6" x14ac:dyDescent="0.3">
      <c r="A1219">
        <v>1218</v>
      </c>
      <c r="B1219" t="s">
        <v>16</v>
      </c>
      <c r="C1219" t="s">
        <v>7</v>
      </c>
      <c r="D1219" t="s">
        <v>8</v>
      </c>
      <c r="E1219" t="s">
        <v>9</v>
      </c>
      <c r="F1219" t="s">
        <v>10</v>
      </c>
    </row>
    <row r="1220" spans="1:6" x14ac:dyDescent="0.3">
      <c r="A1220">
        <v>1219</v>
      </c>
      <c r="B1220" t="s">
        <v>25</v>
      </c>
      <c r="C1220" t="s">
        <v>12</v>
      </c>
      <c r="D1220" t="s">
        <v>22</v>
      </c>
      <c r="E1220" t="s">
        <v>9</v>
      </c>
      <c r="F1220" t="s">
        <v>10</v>
      </c>
    </row>
    <row r="1221" spans="1:6" x14ac:dyDescent="0.3">
      <c r="A1221">
        <v>1220</v>
      </c>
      <c r="B1221" t="s">
        <v>16</v>
      </c>
      <c r="C1221" t="s">
        <v>24</v>
      </c>
      <c r="D1221" t="s">
        <v>8</v>
      </c>
      <c r="E1221" t="s">
        <v>15</v>
      </c>
      <c r="F1221" t="s">
        <v>20</v>
      </c>
    </row>
    <row r="1222" spans="1:6" x14ac:dyDescent="0.3">
      <c r="A1222">
        <v>1221</v>
      </c>
      <c r="B1222" t="s">
        <v>18</v>
      </c>
      <c r="C1222" t="s">
        <v>12</v>
      </c>
      <c r="D1222" t="s">
        <v>22</v>
      </c>
      <c r="E1222" t="s">
        <v>21</v>
      </c>
      <c r="F1222" t="s">
        <v>20</v>
      </c>
    </row>
    <row r="1223" spans="1:6" x14ac:dyDescent="0.3">
      <c r="A1223">
        <v>1222</v>
      </c>
      <c r="B1223" t="s">
        <v>18</v>
      </c>
      <c r="C1223" t="s">
        <v>12</v>
      </c>
      <c r="D1223" t="s">
        <v>1</v>
      </c>
      <c r="E1223" t="s">
        <v>21</v>
      </c>
      <c r="F1223" t="s">
        <v>23</v>
      </c>
    </row>
    <row r="1224" spans="1:6" x14ac:dyDescent="0.3">
      <c r="A1224">
        <v>1223</v>
      </c>
      <c r="B1224" t="s">
        <v>25</v>
      </c>
      <c r="C1224" t="s">
        <v>24</v>
      </c>
      <c r="D1224" t="s">
        <v>1</v>
      </c>
      <c r="E1224" t="s">
        <v>26</v>
      </c>
      <c r="F1224" t="s">
        <v>23</v>
      </c>
    </row>
    <row r="1225" spans="1:6" x14ac:dyDescent="0.3">
      <c r="A1225">
        <v>1224</v>
      </c>
      <c r="B1225" t="s">
        <v>14</v>
      </c>
      <c r="C1225" t="s">
        <v>12</v>
      </c>
      <c r="D1225" t="s">
        <v>22</v>
      </c>
      <c r="E1225" t="s">
        <v>21</v>
      </c>
      <c r="F1225" t="s">
        <v>20</v>
      </c>
    </row>
    <row r="1226" spans="1:6" x14ac:dyDescent="0.3">
      <c r="A1226">
        <v>1225</v>
      </c>
      <c r="B1226" t="s">
        <v>11</v>
      </c>
      <c r="C1226" t="s">
        <v>7</v>
      </c>
      <c r="D1226" t="s">
        <v>22</v>
      </c>
      <c r="E1226" t="s">
        <v>9</v>
      </c>
      <c r="F1226" t="s">
        <v>13</v>
      </c>
    </row>
    <row r="1227" spans="1:6" x14ac:dyDescent="0.3">
      <c r="A1227">
        <v>1226</v>
      </c>
      <c r="B1227" t="s">
        <v>11</v>
      </c>
      <c r="C1227" t="s">
        <v>7</v>
      </c>
      <c r="D1227" t="s">
        <v>8</v>
      </c>
      <c r="E1227" t="s">
        <v>21</v>
      </c>
      <c r="F1227" t="s">
        <v>10</v>
      </c>
    </row>
    <row r="1228" spans="1:6" x14ac:dyDescent="0.3">
      <c r="A1228">
        <v>1227</v>
      </c>
      <c r="B1228" t="s">
        <v>16</v>
      </c>
      <c r="C1228" t="s">
        <v>12</v>
      </c>
      <c r="D1228" t="s">
        <v>1</v>
      </c>
      <c r="E1228" t="s">
        <v>21</v>
      </c>
      <c r="F1228" t="s">
        <v>20</v>
      </c>
    </row>
    <row r="1229" spans="1:6" x14ac:dyDescent="0.3">
      <c r="A1229">
        <v>1228</v>
      </c>
      <c r="B1229" t="s">
        <v>11</v>
      </c>
      <c r="C1229" t="s">
        <v>7</v>
      </c>
      <c r="D1229" t="s">
        <v>8</v>
      </c>
      <c r="E1229" t="s">
        <v>21</v>
      </c>
      <c r="F1229" t="s">
        <v>10</v>
      </c>
    </row>
    <row r="1230" spans="1:6" x14ac:dyDescent="0.3">
      <c r="A1230">
        <v>1229</v>
      </c>
      <c r="B1230" t="s">
        <v>11</v>
      </c>
      <c r="C1230" t="s">
        <v>7</v>
      </c>
      <c r="D1230" t="s">
        <v>22</v>
      </c>
      <c r="E1230" t="s">
        <v>9</v>
      </c>
      <c r="F1230" t="s">
        <v>10</v>
      </c>
    </row>
    <row r="1231" spans="1:6" x14ac:dyDescent="0.3">
      <c r="A1231">
        <v>1230</v>
      </c>
      <c r="B1231" t="s">
        <v>16</v>
      </c>
      <c r="C1231" t="s">
        <v>12</v>
      </c>
      <c r="D1231" t="s">
        <v>1</v>
      </c>
      <c r="E1231" t="s">
        <v>19</v>
      </c>
      <c r="F1231" t="s">
        <v>10</v>
      </c>
    </row>
    <row r="1232" spans="1:6" x14ac:dyDescent="0.3">
      <c r="A1232">
        <v>1231</v>
      </c>
      <c r="B1232" t="s">
        <v>14</v>
      </c>
      <c r="C1232" t="s">
        <v>7</v>
      </c>
      <c r="D1232" t="s">
        <v>8</v>
      </c>
      <c r="E1232" t="s">
        <v>9</v>
      </c>
      <c r="F1232" t="s">
        <v>13</v>
      </c>
    </row>
    <row r="1233" spans="1:6" x14ac:dyDescent="0.3">
      <c r="A1233">
        <v>1232</v>
      </c>
      <c r="B1233" t="s">
        <v>16</v>
      </c>
      <c r="C1233" t="s">
        <v>12</v>
      </c>
      <c r="D1233" t="s">
        <v>22</v>
      </c>
      <c r="E1233" t="s">
        <v>21</v>
      </c>
      <c r="F1233" t="s">
        <v>20</v>
      </c>
    </row>
    <row r="1234" spans="1:6" x14ac:dyDescent="0.3">
      <c r="A1234">
        <v>1233</v>
      </c>
      <c r="B1234" t="s">
        <v>18</v>
      </c>
      <c r="C1234" t="s">
        <v>12</v>
      </c>
      <c r="D1234" t="s">
        <v>1</v>
      </c>
      <c r="E1234" t="s">
        <v>21</v>
      </c>
      <c r="F1234" t="s">
        <v>13</v>
      </c>
    </row>
    <row r="1235" spans="1:6" x14ac:dyDescent="0.3">
      <c r="A1235">
        <v>1234</v>
      </c>
      <c r="B1235" t="s">
        <v>14</v>
      </c>
      <c r="C1235" t="s">
        <v>7</v>
      </c>
      <c r="D1235" t="s">
        <v>22</v>
      </c>
      <c r="E1235" t="s">
        <v>9</v>
      </c>
      <c r="F1235" t="s">
        <v>10</v>
      </c>
    </row>
    <row r="1236" spans="1:6" x14ac:dyDescent="0.3">
      <c r="A1236">
        <v>1235</v>
      </c>
      <c r="B1236" t="s">
        <v>25</v>
      </c>
      <c r="C1236" t="s">
        <v>12</v>
      </c>
      <c r="D1236" t="s">
        <v>22</v>
      </c>
      <c r="E1236" t="s">
        <v>21</v>
      </c>
      <c r="F1236" t="s">
        <v>20</v>
      </c>
    </row>
    <row r="1237" spans="1:6" x14ac:dyDescent="0.3">
      <c r="A1237">
        <v>1236</v>
      </c>
      <c r="B1237" t="s">
        <v>25</v>
      </c>
      <c r="C1237" t="s">
        <v>12</v>
      </c>
      <c r="D1237" t="s">
        <v>22</v>
      </c>
      <c r="E1237" t="s">
        <v>9</v>
      </c>
      <c r="F1237" t="s">
        <v>13</v>
      </c>
    </row>
    <row r="1238" spans="1:6" x14ac:dyDescent="0.3">
      <c r="A1238">
        <v>1237</v>
      </c>
      <c r="B1238" t="s">
        <v>18</v>
      </c>
      <c r="C1238" t="s">
        <v>12</v>
      </c>
      <c r="D1238" t="s">
        <v>8</v>
      </c>
      <c r="E1238" t="s">
        <v>19</v>
      </c>
      <c r="F1238" t="s">
        <v>13</v>
      </c>
    </row>
    <row r="1239" spans="1:6" x14ac:dyDescent="0.3">
      <c r="A1239">
        <v>1238</v>
      </c>
      <c r="B1239" t="s">
        <v>18</v>
      </c>
      <c r="C1239" t="s">
        <v>7</v>
      </c>
      <c r="D1239" t="s">
        <v>8</v>
      </c>
      <c r="E1239" t="s">
        <v>21</v>
      </c>
      <c r="F1239" t="s">
        <v>13</v>
      </c>
    </row>
    <row r="1240" spans="1:6" x14ac:dyDescent="0.3">
      <c r="A1240">
        <v>1239</v>
      </c>
      <c r="B1240" t="s">
        <v>25</v>
      </c>
      <c r="C1240" t="s">
        <v>24</v>
      </c>
      <c r="D1240" t="s">
        <v>8</v>
      </c>
      <c r="E1240" t="s">
        <v>26</v>
      </c>
      <c r="F1240" t="s">
        <v>20</v>
      </c>
    </row>
    <row r="1241" spans="1:6" x14ac:dyDescent="0.3">
      <c r="A1241">
        <v>1240</v>
      </c>
      <c r="B1241" t="s">
        <v>18</v>
      </c>
      <c r="C1241" t="s">
        <v>7</v>
      </c>
      <c r="D1241" t="s">
        <v>1</v>
      </c>
      <c r="E1241" t="s">
        <v>21</v>
      </c>
      <c r="F1241" t="s">
        <v>10</v>
      </c>
    </row>
    <row r="1242" spans="1:6" x14ac:dyDescent="0.3">
      <c r="A1242">
        <v>1241</v>
      </c>
      <c r="B1242" t="s">
        <v>25</v>
      </c>
      <c r="C1242" t="s">
        <v>24</v>
      </c>
      <c r="D1242" t="s">
        <v>1</v>
      </c>
      <c r="E1242" t="s">
        <v>26</v>
      </c>
      <c r="F1242" t="s">
        <v>10</v>
      </c>
    </row>
    <row r="1243" spans="1:6" x14ac:dyDescent="0.3">
      <c r="A1243">
        <v>1242</v>
      </c>
      <c r="B1243" t="s">
        <v>6</v>
      </c>
      <c r="C1243" t="s">
        <v>7</v>
      </c>
      <c r="D1243" t="s">
        <v>22</v>
      </c>
      <c r="E1243" t="s">
        <v>9</v>
      </c>
      <c r="F1243" t="s">
        <v>23</v>
      </c>
    </row>
    <row r="1244" spans="1:6" x14ac:dyDescent="0.3">
      <c r="A1244">
        <v>1243</v>
      </c>
      <c r="B1244" t="s">
        <v>18</v>
      </c>
      <c r="C1244" t="s">
        <v>12</v>
      </c>
      <c r="D1244" t="s">
        <v>22</v>
      </c>
      <c r="E1244" t="s">
        <v>19</v>
      </c>
      <c r="F1244" t="s">
        <v>10</v>
      </c>
    </row>
    <row r="1245" spans="1:6" x14ac:dyDescent="0.3">
      <c r="A1245">
        <v>1244</v>
      </c>
      <c r="B1245" t="s">
        <v>25</v>
      </c>
      <c r="C1245" t="s">
        <v>7</v>
      </c>
      <c r="D1245" t="s">
        <v>1</v>
      </c>
      <c r="E1245" t="s">
        <v>9</v>
      </c>
      <c r="F1245" t="s">
        <v>10</v>
      </c>
    </row>
    <row r="1246" spans="1:6" x14ac:dyDescent="0.3">
      <c r="A1246">
        <v>1245</v>
      </c>
      <c r="B1246" t="s">
        <v>11</v>
      </c>
      <c r="C1246" t="s">
        <v>24</v>
      </c>
      <c r="D1246" t="s">
        <v>1</v>
      </c>
      <c r="E1246" t="s">
        <v>15</v>
      </c>
      <c r="F1246" t="s">
        <v>13</v>
      </c>
    </row>
    <row r="1247" spans="1:6" x14ac:dyDescent="0.3">
      <c r="A1247">
        <v>1246</v>
      </c>
      <c r="B1247" t="s">
        <v>25</v>
      </c>
      <c r="C1247" t="s">
        <v>24</v>
      </c>
      <c r="D1247" t="s">
        <v>1</v>
      </c>
      <c r="E1247" t="s">
        <v>15</v>
      </c>
      <c r="F1247" t="s">
        <v>13</v>
      </c>
    </row>
    <row r="1248" spans="1:6" x14ac:dyDescent="0.3">
      <c r="A1248">
        <v>1247</v>
      </c>
      <c r="B1248" t="s">
        <v>18</v>
      </c>
      <c r="C1248" t="s">
        <v>24</v>
      </c>
      <c r="D1248" t="s">
        <v>8</v>
      </c>
      <c r="E1248" t="s">
        <v>26</v>
      </c>
      <c r="F1248" t="s">
        <v>20</v>
      </c>
    </row>
    <row r="1249" spans="1:6" x14ac:dyDescent="0.3">
      <c r="A1249">
        <v>1248</v>
      </c>
      <c r="B1249" t="s">
        <v>6</v>
      </c>
      <c r="C1249" t="s">
        <v>12</v>
      </c>
      <c r="D1249" t="s">
        <v>8</v>
      </c>
      <c r="E1249" t="s">
        <v>9</v>
      </c>
      <c r="F1249" t="s">
        <v>20</v>
      </c>
    </row>
    <row r="1250" spans="1:6" x14ac:dyDescent="0.3">
      <c r="A1250">
        <v>1249</v>
      </c>
      <c r="B1250" t="s">
        <v>11</v>
      </c>
      <c r="C1250" t="s">
        <v>12</v>
      </c>
      <c r="D1250" t="s">
        <v>22</v>
      </c>
      <c r="E1250" t="s">
        <v>9</v>
      </c>
      <c r="F1250" t="s">
        <v>10</v>
      </c>
    </row>
    <row r="1251" spans="1:6" x14ac:dyDescent="0.3">
      <c r="A1251">
        <v>1250</v>
      </c>
      <c r="B1251" t="s">
        <v>11</v>
      </c>
      <c r="C1251" t="s">
        <v>12</v>
      </c>
      <c r="D1251" t="s">
        <v>22</v>
      </c>
      <c r="E1251" t="s">
        <v>9</v>
      </c>
      <c r="F1251" t="s">
        <v>23</v>
      </c>
    </row>
    <row r="1252" spans="1:6" x14ac:dyDescent="0.3">
      <c r="A1252">
        <v>1251</v>
      </c>
      <c r="B1252" t="s">
        <v>25</v>
      </c>
      <c r="C1252" t="s">
        <v>12</v>
      </c>
      <c r="D1252" t="s">
        <v>8</v>
      </c>
      <c r="E1252" t="s">
        <v>15</v>
      </c>
      <c r="F1252" t="s">
        <v>20</v>
      </c>
    </row>
    <row r="1253" spans="1:6" x14ac:dyDescent="0.3">
      <c r="A1253">
        <v>1252</v>
      </c>
      <c r="B1253" t="s">
        <v>11</v>
      </c>
      <c r="C1253" t="s">
        <v>7</v>
      </c>
      <c r="D1253" t="s">
        <v>1</v>
      </c>
      <c r="E1253" t="s">
        <v>21</v>
      </c>
      <c r="F1253" t="s">
        <v>13</v>
      </c>
    </row>
    <row r="1254" spans="1:6" x14ac:dyDescent="0.3">
      <c r="A1254">
        <v>1253</v>
      </c>
      <c r="B1254" t="s">
        <v>25</v>
      </c>
      <c r="C1254" t="s">
        <v>7</v>
      </c>
      <c r="D1254" t="s">
        <v>8</v>
      </c>
      <c r="E1254" t="s">
        <v>9</v>
      </c>
      <c r="F1254" t="s">
        <v>23</v>
      </c>
    </row>
    <row r="1255" spans="1:6" x14ac:dyDescent="0.3">
      <c r="A1255">
        <v>1254</v>
      </c>
      <c r="B1255" t="s">
        <v>25</v>
      </c>
      <c r="C1255" t="s">
        <v>12</v>
      </c>
      <c r="D1255" t="s">
        <v>8</v>
      </c>
      <c r="E1255" t="s">
        <v>9</v>
      </c>
      <c r="F1255" t="s">
        <v>10</v>
      </c>
    </row>
    <row r="1256" spans="1:6" x14ac:dyDescent="0.3">
      <c r="A1256">
        <v>1255</v>
      </c>
      <c r="B1256" t="s">
        <v>18</v>
      </c>
      <c r="C1256" t="s">
        <v>7</v>
      </c>
      <c r="D1256" t="s">
        <v>22</v>
      </c>
      <c r="E1256" t="s">
        <v>9</v>
      </c>
      <c r="F1256" t="s">
        <v>10</v>
      </c>
    </row>
    <row r="1257" spans="1:6" x14ac:dyDescent="0.3">
      <c r="A1257">
        <v>1256</v>
      </c>
      <c r="B1257" t="s">
        <v>11</v>
      </c>
      <c r="C1257" t="s">
        <v>7</v>
      </c>
      <c r="D1257" t="s">
        <v>8</v>
      </c>
      <c r="E1257" t="s">
        <v>9</v>
      </c>
      <c r="F1257" t="s">
        <v>13</v>
      </c>
    </row>
    <row r="1258" spans="1:6" x14ac:dyDescent="0.3">
      <c r="A1258">
        <v>1257</v>
      </c>
      <c r="B1258" t="s">
        <v>16</v>
      </c>
      <c r="C1258" t="s">
        <v>12</v>
      </c>
      <c r="D1258" t="s">
        <v>8</v>
      </c>
      <c r="E1258" t="s">
        <v>9</v>
      </c>
      <c r="F1258" t="s">
        <v>13</v>
      </c>
    </row>
    <row r="1259" spans="1:6" x14ac:dyDescent="0.3">
      <c r="A1259">
        <v>1258</v>
      </c>
      <c r="B1259" t="s">
        <v>6</v>
      </c>
      <c r="C1259" t="s">
        <v>7</v>
      </c>
      <c r="D1259" t="s">
        <v>22</v>
      </c>
      <c r="E1259" t="s">
        <v>21</v>
      </c>
      <c r="F1259" t="s">
        <v>23</v>
      </c>
    </row>
    <row r="1260" spans="1:6" x14ac:dyDescent="0.3">
      <c r="A1260">
        <v>1259</v>
      </c>
      <c r="B1260" t="s">
        <v>6</v>
      </c>
      <c r="C1260" t="s">
        <v>7</v>
      </c>
      <c r="D1260" t="s">
        <v>1</v>
      </c>
      <c r="E1260" t="s">
        <v>9</v>
      </c>
      <c r="F1260" t="s">
        <v>10</v>
      </c>
    </row>
    <row r="1261" spans="1:6" x14ac:dyDescent="0.3">
      <c r="A1261">
        <v>1260</v>
      </c>
      <c r="B1261" t="s">
        <v>14</v>
      </c>
      <c r="C1261" t="s">
        <v>24</v>
      </c>
      <c r="D1261" t="s">
        <v>8</v>
      </c>
      <c r="E1261" t="s">
        <v>26</v>
      </c>
      <c r="F1261" t="s">
        <v>23</v>
      </c>
    </row>
    <row r="1262" spans="1:6" x14ac:dyDescent="0.3">
      <c r="A1262">
        <v>1261</v>
      </c>
      <c r="B1262" t="s">
        <v>25</v>
      </c>
      <c r="C1262" t="s">
        <v>24</v>
      </c>
      <c r="D1262" t="s">
        <v>22</v>
      </c>
      <c r="E1262" t="s">
        <v>15</v>
      </c>
      <c r="F1262" t="s">
        <v>23</v>
      </c>
    </row>
    <row r="1263" spans="1:6" x14ac:dyDescent="0.3">
      <c r="A1263">
        <v>1262</v>
      </c>
      <c r="B1263" t="s">
        <v>14</v>
      </c>
      <c r="C1263" t="s">
        <v>7</v>
      </c>
      <c r="D1263" t="s">
        <v>8</v>
      </c>
      <c r="E1263" t="s">
        <v>21</v>
      </c>
      <c r="F1263" t="s">
        <v>13</v>
      </c>
    </row>
    <row r="1264" spans="1:6" x14ac:dyDescent="0.3">
      <c r="A1264">
        <v>1263</v>
      </c>
      <c r="B1264" t="s">
        <v>14</v>
      </c>
      <c r="C1264" t="s">
        <v>12</v>
      </c>
      <c r="D1264" t="s">
        <v>1</v>
      </c>
      <c r="E1264" t="s">
        <v>9</v>
      </c>
      <c r="F1264" t="s">
        <v>23</v>
      </c>
    </row>
    <row r="1265" spans="1:6" x14ac:dyDescent="0.3">
      <c r="A1265">
        <v>1264</v>
      </c>
      <c r="B1265" t="s">
        <v>16</v>
      </c>
      <c r="C1265" t="s">
        <v>7</v>
      </c>
      <c r="D1265" t="s">
        <v>22</v>
      </c>
      <c r="E1265" t="s">
        <v>15</v>
      </c>
      <c r="F1265" t="s">
        <v>23</v>
      </c>
    </row>
    <row r="1266" spans="1:6" x14ac:dyDescent="0.3">
      <c r="A1266">
        <v>1265</v>
      </c>
      <c r="B1266" t="s">
        <v>18</v>
      </c>
      <c r="C1266" t="s">
        <v>12</v>
      </c>
      <c r="D1266" t="s">
        <v>22</v>
      </c>
      <c r="E1266" t="s">
        <v>21</v>
      </c>
      <c r="F1266" t="s">
        <v>20</v>
      </c>
    </row>
    <row r="1267" spans="1:6" x14ac:dyDescent="0.3">
      <c r="A1267">
        <v>1266</v>
      </c>
      <c r="B1267" t="s">
        <v>11</v>
      </c>
      <c r="C1267" t="s">
        <v>24</v>
      </c>
      <c r="D1267" t="s">
        <v>1</v>
      </c>
      <c r="E1267" t="s">
        <v>15</v>
      </c>
      <c r="F1267" t="s">
        <v>13</v>
      </c>
    </row>
    <row r="1268" spans="1:6" x14ac:dyDescent="0.3">
      <c r="A1268">
        <v>1267</v>
      </c>
      <c r="B1268" t="s">
        <v>18</v>
      </c>
      <c r="C1268" t="s">
        <v>12</v>
      </c>
      <c r="D1268" t="s">
        <v>22</v>
      </c>
      <c r="E1268" t="s">
        <v>19</v>
      </c>
      <c r="F1268" t="s">
        <v>10</v>
      </c>
    </row>
    <row r="1269" spans="1:6" x14ac:dyDescent="0.3">
      <c r="A1269">
        <v>1268</v>
      </c>
      <c r="B1269" t="s">
        <v>6</v>
      </c>
      <c r="C1269" t="s">
        <v>7</v>
      </c>
      <c r="D1269" t="s">
        <v>8</v>
      </c>
      <c r="E1269" t="s">
        <v>21</v>
      </c>
      <c r="F1269" t="s">
        <v>20</v>
      </c>
    </row>
    <row r="1270" spans="1:6" x14ac:dyDescent="0.3">
      <c r="A1270">
        <v>1269</v>
      </c>
      <c r="B1270" t="s">
        <v>18</v>
      </c>
      <c r="C1270" t="s">
        <v>12</v>
      </c>
      <c r="D1270" t="s">
        <v>22</v>
      </c>
      <c r="E1270" t="s">
        <v>21</v>
      </c>
      <c r="F1270" t="s">
        <v>13</v>
      </c>
    </row>
    <row r="1271" spans="1:6" x14ac:dyDescent="0.3">
      <c r="A1271">
        <v>1270</v>
      </c>
      <c r="B1271" t="s">
        <v>16</v>
      </c>
      <c r="C1271" t="s">
        <v>24</v>
      </c>
      <c r="D1271" t="s">
        <v>22</v>
      </c>
      <c r="E1271" t="s">
        <v>15</v>
      </c>
      <c r="F1271" t="s">
        <v>20</v>
      </c>
    </row>
    <row r="1272" spans="1:6" x14ac:dyDescent="0.3">
      <c r="A1272">
        <v>1271</v>
      </c>
      <c r="B1272" t="s">
        <v>14</v>
      </c>
      <c r="C1272" t="s">
        <v>7</v>
      </c>
      <c r="D1272" t="s">
        <v>1</v>
      </c>
      <c r="E1272" t="s">
        <v>9</v>
      </c>
      <c r="F1272" t="s">
        <v>10</v>
      </c>
    </row>
    <row r="1273" spans="1:6" x14ac:dyDescent="0.3">
      <c r="A1273">
        <v>1272</v>
      </c>
      <c r="B1273" t="s">
        <v>11</v>
      </c>
      <c r="C1273" t="s">
        <v>12</v>
      </c>
      <c r="D1273" t="s">
        <v>8</v>
      </c>
      <c r="E1273" t="s">
        <v>9</v>
      </c>
      <c r="F1273" t="s">
        <v>13</v>
      </c>
    </row>
    <row r="1274" spans="1:6" x14ac:dyDescent="0.3">
      <c r="A1274">
        <v>1273</v>
      </c>
      <c r="B1274" t="s">
        <v>11</v>
      </c>
      <c r="C1274" t="s">
        <v>24</v>
      </c>
      <c r="D1274" t="s">
        <v>8</v>
      </c>
      <c r="E1274" t="s">
        <v>26</v>
      </c>
      <c r="F1274" t="s">
        <v>13</v>
      </c>
    </row>
    <row r="1275" spans="1:6" x14ac:dyDescent="0.3">
      <c r="A1275">
        <v>1274</v>
      </c>
      <c r="B1275" t="s">
        <v>18</v>
      </c>
      <c r="C1275" t="s">
        <v>12</v>
      </c>
      <c r="D1275" t="s">
        <v>1</v>
      </c>
      <c r="E1275" t="s">
        <v>19</v>
      </c>
      <c r="F1275" t="s">
        <v>20</v>
      </c>
    </row>
    <row r="1276" spans="1:6" x14ac:dyDescent="0.3">
      <c r="A1276">
        <v>1275</v>
      </c>
      <c r="B1276" t="s">
        <v>14</v>
      </c>
      <c r="C1276" t="s">
        <v>12</v>
      </c>
      <c r="D1276" t="s">
        <v>8</v>
      </c>
      <c r="E1276" t="s">
        <v>9</v>
      </c>
      <c r="F1276" t="s">
        <v>13</v>
      </c>
    </row>
    <row r="1277" spans="1:6" x14ac:dyDescent="0.3">
      <c r="A1277">
        <v>1276</v>
      </c>
      <c r="B1277" t="s">
        <v>14</v>
      </c>
      <c r="C1277" t="s">
        <v>12</v>
      </c>
      <c r="D1277" t="s">
        <v>1</v>
      </c>
      <c r="E1277" t="s">
        <v>9</v>
      </c>
      <c r="F1277" t="s">
        <v>20</v>
      </c>
    </row>
    <row r="1278" spans="1:6" x14ac:dyDescent="0.3">
      <c r="A1278">
        <v>1277</v>
      </c>
      <c r="B1278" t="s">
        <v>14</v>
      </c>
      <c r="C1278" t="s">
        <v>7</v>
      </c>
      <c r="D1278" t="s">
        <v>8</v>
      </c>
      <c r="E1278" t="s">
        <v>9</v>
      </c>
      <c r="F1278" t="s">
        <v>20</v>
      </c>
    </row>
    <row r="1279" spans="1:6" x14ac:dyDescent="0.3">
      <c r="A1279">
        <v>1278</v>
      </c>
      <c r="B1279" t="s">
        <v>25</v>
      </c>
      <c r="C1279" t="s">
        <v>7</v>
      </c>
      <c r="D1279" t="s">
        <v>22</v>
      </c>
      <c r="E1279" t="s">
        <v>9</v>
      </c>
      <c r="F1279" t="s">
        <v>13</v>
      </c>
    </row>
    <row r="1280" spans="1:6" x14ac:dyDescent="0.3">
      <c r="A1280">
        <v>1279</v>
      </c>
      <c r="B1280" t="s">
        <v>18</v>
      </c>
      <c r="C1280" t="s">
        <v>12</v>
      </c>
      <c r="D1280" t="s">
        <v>22</v>
      </c>
      <c r="E1280" t="s">
        <v>21</v>
      </c>
      <c r="F1280" t="s">
        <v>10</v>
      </c>
    </row>
    <row r="1281" spans="1:6" x14ac:dyDescent="0.3">
      <c r="A1281">
        <v>1280</v>
      </c>
      <c r="B1281" t="s">
        <v>6</v>
      </c>
      <c r="C1281" t="s">
        <v>7</v>
      </c>
      <c r="D1281" t="s">
        <v>1</v>
      </c>
      <c r="E1281" t="s">
        <v>9</v>
      </c>
      <c r="F1281" t="s">
        <v>10</v>
      </c>
    </row>
    <row r="1282" spans="1:6" x14ac:dyDescent="0.3">
      <c r="A1282">
        <v>1281</v>
      </c>
      <c r="B1282" t="s">
        <v>25</v>
      </c>
      <c r="C1282" t="s">
        <v>24</v>
      </c>
      <c r="D1282" t="s">
        <v>8</v>
      </c>
      <c r="E1282" t="s">
        <v>26</v>
      </c>
      <c r="F1282" t="s">
        <v>13</v>
      </c>
    </row>
    <row r="1283" spans="1:6" x14ac:dyDescent="0.3">
      <c r="A1283">
        <v>1282</v>
      </c>
      <c r="B1283" t="s">
        <v>16</v>
      </c>
      <c r="C1283" t="s">
        <v>7</v>
      </c>
      <c r="D1283" t="s">
        <v>22</v>
      </c>
      <c r="E1283" t="s">
        <v>21</v>
      </c>
      <c r="F1283" t="s">
        <v>20</v>
      </c>
    </row>
    <row r="1284" spans="1:6" x14ac:dyDescent="0.3">
      <c r="A1284">
        <v>1283</v>
      </c>
      <c r="B1284" t="s">
        <v>25</v>
      </c>
      <c r="C1284" t="s">
        <v>12</v>
      </c>
      <c r="D1284" t="s">
        <v>8</v>
      </c>
      <c r="E1284" t="s">
        <v>15</v>
      </c>
      <c r="F1284" t="s">
        <v>20</v>
      </c>
    </row>
    <row r="1285" spans="1:6" x14ac:dyDescent="0.3">
      <c r="A1285">
        <v>1284</v>
      </c>
      <c r="B1285" t="s">
        <v>16</v>
      </c>
      <c r="C1285" t="s">
        <v>7</v>
      </c>
      <c r="D1285" t="s">
        <v>1</v>
      </c>
      <c r="E1285" t="s">
        <v>19</v>
      </c>
      <c r="F1285" t="s">
        <v>10</v>
      </c>
    </row>
    <row r="1286" spans="1:6" x14ac:dyDescent="0.3">
      <c r="A1286">
        <v>1285</v>
      </c>
      <c r="B1286" t="s">
        <v>16</v>
      </c>
      <c r="C1286" t="s">
        <v>12</v>
      </c>
      <c r="D1286" t="s">
        <v>8</v>
      </c>
      <c r="E1286" t="s">
        <v>9</v>
      </c>
      <c r="F1286" t="s">
        <v>10</v>
      </c>
    </row>
    <row r="1287" spans="1:6" x14ac:dyDescent="0.3">
      <c r="A1287">
        <v>1286</v>
      </c>
      <c r="B1287" t="s">
        <v>6</v>
      </c>
      <c r="C1287" t="s">
        <v>12</v>
      </c>
      <c r="D1287" t="s">
        <v>22</v>
      </c>
      <c r="E1287" t="s">
        <v>15</v>
      </c>
      <c r="F1287" t="s">
        <v>13</v>
      </c>
    </row>
    <row r="1288" spans="1:6" x14ac:dyDescent="0.3">
      <c r="A1288">
        <v>1287</v>
      </c>
      <c r="B1288" t="s">
        <v>6</v>
      </c>
      <c r="C1288" t="s">
        <v>24</v>
      </c>
      <c r="D1288" t="s">
        <v>1</v>
      </c>
      <c r="E1288" t="s">
        <v>26</v>
      </c>
      <c r="F1288" t="s">
        <v>20</v>
      </c>
    </row>
    <row r="1289" spans="1:6" x14ac:dyDescent="0.3">
      <c r="A1289">
        <v>1288</v>
      </c>
      <c r="B1289" t="s">
        <v>18</v>
      </c>
      <c r="C1289" t="s">
        <v>12</v>
      </c>
      <c r="D1289" t="s">
        <v>8</v>
      </c>
      <c r="E1289" t="s">
        <v>21</v>
      </c>
      <c r="F1289" t="s">
        <v>20</v>
      </c>
    </row>
    <row r="1290" spans="1:6" x14ac:dyDescent="0.3">
      <c r="A1290">
        <v>1289</v>
      </c>
      <c r="B1290" t="s">
        <v>14</v>
      </c>
      <c r="C1290" t="s">
        <v>12</v>
      </c>
      <c r="D1290" t="s">
        <v>22</v>
      </c>
      <c r="E1290" t="s">
        <v>19</v>
      </c>
      <c r="F1290" t="s">
        <v>10</v>
      </c>
    </row>
    <row r="1291" spans="1:6" x14ac:dyDescent="0.3">
      <c r="A1291">
        <v>1290</v>
      </c>
      <c r="B1291" t="s">
        <v>18</v>
      </c>
      <c r="C1291" t="s">
        <v>7</v>
      </c>
      <c r="D1291" t="s">
        <v>8</v>
      </c>
      <c r="E1291" t="s">
        <v>21</v>
      </c>
      <c r="F1291" t="s">
        <v>20</v>
      </c>
    </row>
    <row r="1292" spans="1:6" x14ac:dyDescent="0.3">
      <c r="A1292">
        <v>1291</v>
      </c>
      <c r="B1292" t="s">
        <v>14</v>
      </c>
      <c r="C1292" t="s">
        <v>12</v>
      </c>
      <c r="D1292" t="s">
        <v>8</v>
      </c>
      <c r="E1292" t="s">
        <v>9</v>
      </c>
      <c r="F1292" t="s">
        <v>13</v>
      </c>
    </row>
    <row r="1293" spans="1:6" x14ac:dyDescent="0.3">
      <c r="A1293">
        <v>1292</v>
      </c>
      <c r="B1293" t="s">
        <v>25</v>
      </c>
      <c r="C1293" t="s">
        <v>7</v>
      </c>
      <c r="D1293" t="s">
        <v>1</v>
      </c>
      <c r="E1293" t="s">
        <v>19</v>
      </c>
      <c r="F1293" t="s">
        <v>10</v>
      </c>
    </row>
    <row r="1294" spans="1:6" x14ac:dyDescent="0.3">
      <c r="A1294">
        <v>1293</v>
      </c>
      <c r="B1294" t="s">
        <v>6</v>
      </c>
      <c r="C1294" t="s">
        <v>12</v>
      </c>
      <c r="D1294" t="s">
        <v>8</v>
      </c>
      <c r="E1294" t="s">
        <v>21</v>
      </c>
      <c r="F1294" t="s">
        <v>13</v>
      </c>
    </row>
    <row r="1295" spans="1:6" x14ac:dyDescent="0.3">
      <c r="A1295">
        <v>1294</v>
      </c>
      <c r="B1295" t="s">
        <v>16</v>
      </c>
      <c r="C1295" t="s">
        <v>12</v>
      </c>
      <c r="D1295" t="s">
        <v>1</v>
      </c>
      <c r="E1295" t="s">
        <v>9</v>
      </c>
      <c r="F1295" t="s">
        <v>10</v>
      </c>
    </row>
    <row r="1296" spans="1:6" x14ac:dyDescent="0.3">
      <c r="A1296">
        <v>1295</v>
      </c>
      <c r="B1296" t="s">
        <v>11</v>
      </c>
      <c r="C1296" t="s">
        <v>7</v>
      </c>
      <c r="D1296" t="s">
        <v>1</v>
      </c>
      <c r="E1296" t="s">
        <v>21</v>
      </c>
      <c r="F1296" t="s">
        <v>23</v>
      </c>
    </row>
    <row r="1297" spans="1:6" x14ac:dyDescent="0.3">
      <c r="A1297">
        <v>1296</v>
      </c>
      <c r="B1297" t="s">
        <v>6</v>
      </c>
      <c r="C1297" t="s">
        <v>7</v>
      </c>
      <c r="D1297" t="s">
        <v>8</v>
      </c>
      <c r="E1297" t="s">
        <v>9</v>
      </c>
      <c r="F1297" t="s">
        <v>10</v>
      </c>
    </row>
    <row r="1298" spans="1:6" x14ac:dyDescent="0.3">
      <c r="A1298">
        <v>1297</v>
      </c>
      <c r="B1298" t="s">
        <v>25</v>
      </c>
      <c r="C1298" t="s">
        <v>12</v>
      </c>
      <c r="D1298" t="s">
        <v>1</v>
      </c>
      <c r="E1298" t="s">
        <v>9</v>
      </c>
      <c r="F1298" t="s">
        <v>23</v>
      </c>
    </row>
    <row r="1299" spans="1:6" x14ac:dyDescent="0.3">
      <c r="A1299">
        <v>1298</v>
      </c>
      <c r="B1299" t="s">
        <v>6</v>
      </c>
      <c r="C1299" t="s">
        <v>7</v>
      </c>
      <c r="D1299" t="s">
        <v>1</v>
      </c>
      <c r="E1299" t="s">
        <v>21</v>
      </c>
      <c r="F1299" t="s">
        <v>10</v>
      </c>
    </row>
    <row r="1300" spans="1:6" x14ac:dyDescent="0.3">
      <c r="A1300">
        <v>1299</v>
      </c>
      <c r="B1300" t="s">
        <v>11</v>
      </c>
      <c r="C1300" t="s">
        <v>7</v>
      </c>
      <c r="D1300" t="s">
        <v>22</v>
      </c>
      <c r="E1300" t="s">
        <v>15</v>
      </c>
      <c r="F1300" t="s">
        <v>23</v>
      </c>
    </row>
    <row r="1301" spans="1:6" x14ac:dyDescent="0.3">
      <c r="A1301">
        <v>1300</v>
      </c>
      <c r="B1301" t="s">
        <v>14</v>
      </c>
      <c r="C1301" t="s">
        <v>7</v>
      </c>
      <c r="D1301" t="s">
        <v>22</v>
      </c>
      <c r="E1301" t="s">
        <v>9</v>
      </c>
      <c r="F1301" t="s">
        <v>20</v>
      </c>
    </row>
    <row r="1302" spans="1:6" x14ac:dyDescent="0.3">
      <c r="A1302">
        <v>1301</v>
      </c>
      <c r="B1302" t="s">
        <v>25</v>
      </c>
      <c r="C1302" t="s">
        <v>7</v>
      </c>
      <c r="D1302" t="s">
        <v>22</v>
      </c>
      <c r="E1302" t="s">
        <v>9</v>
      </c>
      <c r="F1302" t="s">
        <v>23</v>
      </c>
    </row>
    <row r="1303" spans="1:6" x14ac:dyDescent="0.3">
      <c r="A1303">
        <v>1302</v>
      </c>
      <c r="B1303" t="s">
        <v>14</v>
      </c>
      <c r="C1303" t="s">
        <v>24</v>
      </c>
      <c r="D1303" t="s">
        <v>22</v>
      </c>
      <c r="E1303" t="s">
        <v>15</v>
      </c>
      <c r="F1303" t="s">
        <v>20</v>
      </c>
    </row>
    <row r="1304" spans="1:6" x14ac:dyDescent="0.3">
      <c r="A1304">
        <v>1303</v>
      </c>
      <c r="B1304" t="s">
        <v>25</v>
      </c>
      <c r="C1304" t="s">
        <v>12</v>
      </c>
      <c r="D1304" t="s">
        <v>8</v>
      </c>
      <c r="E1304" t="s">
        <v>9</v>
      </c>
      <c r="F1304" t="s">
        <v>13</v>
      </c>
    </row>
    <row r="1305" spans="1:6" x14ac:dyDescent="0.3">
      <c r="A1305">
        <v>1304</v>
      </c>
      <c r="B1305" t="s">
        <v>14</v>
      </c>
      <c r="C1305" t="s">
        <v>24</v>
      </c>
      <c r="D1305" t="s">
        <v>1</v>
      </c>
      <c r="E1305" t="s">
        <v>26</v>
      </c>
      <c r="F1305" t="s">
        <v>10</v>
      </c>
    </row>
    <row r="1306" spans="1:6" x14ac:dyDescent="0.3">
      <c r="A1306">
        <v>1305</v>
      </c>
      <c r="B1306" t="s">
        <v>14</v>
      </c>
      <c r="C1306" t="s">
        <v>24</v>
      </c>
      <c r="D1306" t="s">
        <v>8</v>
      </c>
      <c r="E1306" t="s">
        <v>15</v>
      </c>
      <c r="F1306" t="s">
        <v>20</v>
      </c>
    </row>
    <row r="1307" spans="1:6" x14ac:dyDescent="0.3">
      <c r="A1307">
        <v>1306</v>
      </c>
      <c r="B1307" t="s">
        <v>25</v>
      </c>
      <c r="C1307" t="s">
        <v>12</v>
      </c>
      <c r="D1307" t="s">
        <v>22</v>
      </c>
      <c r="E1307" t="s">
        <v>19</v>
      </c>
      <c r="F1307" t="s">
        <v>10</v>
      </c>
    </row>
    <row r="1308" spans="1:6" x14ac:dyDescent="0.3">
      <c r="A1308">
        <v>1307</v>
      </c>
      <c r="B1308" t="s">
        <v>11</v>
      </c>
      <c r="C1308" t="s">
        <v>7</v>
      </c>
      <c r="D1308" t="s">
        <v>22</v>
      </c>
      <c r="E1308" t="s">
        <v>21</v>
      </c>
      <c r="F1308" t="s">
        <v>10</v>
      </c>
    </row>
    <row r="1309" spans="1:6" x14ac:dyDescent="0.3">
      <c r="A1309">
        <v>1308</v>
      </c>
      <c r="B1309" t="s">
        <v>6</v>
      </c>
      <c r="C1309" t="s">
        <v>7</v>
      </c>
      <c r="D1309" t="s">
        <v>8</v>
      </c>
      <c r="E1309" t="s">
        <v>9</v>
      </c>
      <c r="F1309" t="s">
        <v>10</v>
      </c>
    </row>
    <row r="1310" spans="1:6" x14ac:dyDescent="0.3">
      <c r="A1310">
        <v>1309</v>
      </c>
      <c r="B1310" t="s">
        <v>25</v>
      </c>
      <c r="C1310" t="s">
        <v>7</v>
      </c>
      <c r="D1310" t="s">
        <v>22</v>
      </c>
      <c r="E1310" t="s">
        <v>9</v>
      </c>
      <c r="F1310" t="s">
        <v>23</v>
      </c>
    </row>
    <row r="1311" spans="1:6" x14ac:dyDescent="0.3">
      <c r="A1311">
        <v>1310</v>
      </c>
      <c r="B1311" t="s">
        <v>16</v>
      </c>
      <c r="C1311" t="s">
        <v>12</v>
      </c>
      <c r="D1311" t="s">
        <v>22</v>
      </c>
      <c r="E1311" t="s">
        <v>21</v>
      </c>
      <c r="F1311" t="s">
        <v>20</v>
      </c>
    </row>
    <row r="1312" spans="1:6" x14ac:dyDescent="0.3">
      <c r="A1312">
        <v>1311</v>
      </c>
      <c r="B1312" t="s">
        <v>18</v>
      </c>
      <c r="C1312" t="s">
        <v>7</v>
      </c>
      <c r="D1312" t="s">
        <v>1</v>
      </c>
      <c r="E1312" t="s">
        <v>21</v>
      </c>
      <c r="F1312" t="s">
        <v>23</v>
      </c>
    </row>
    <row r="1313" spans="1:6" x14ac:dyDescent="0.3">
      <c r="A1313">
        <v>1312</v>
      </c>
      <c r="B1313" t="s">
        <v>25</v>
      </c>
      <c r="C1313" t="s">
        <v>7</v>
      </c>
      <c r="D1313" t="s">
        <v>22</v>
      </c>
      <c r="E1313" t="s">
        <v>21</v>
      </c>
      <c r="F1313" t="s">
        <v>13</v>
      </c>
    </row>
    <row r="1314" spans="1:6" x14ac:dyDescent="0.3">
      <c r="A1314">
        <v>1313</v>
      </c>
      <c r="B1314" t="s">
        <v>25</v>
      </c>
      <c r="C1314" t="s">
        <v>24</v>
      </c>
      <c r="D1314" t="s">
        <v>22</v>
      </c>
      <c r="E1314" t="s">
        <v>26</v>
      </c>
      <c r="F1314" t="s">
        <v>13</v>
      </c>
    </row>
    <row r="1315" spans="1:6" x14ac:dyDescent="0.3">
      <c r="A1315">
        <v>1314</v>
      </c>
      <c r="B1315" t="s">
        <v>14</v>
      </c>
      <c r="C1315" t="s">
        <v>12</v>
      </c>
      <c r="D1315" t="s">
        <v>1</v>
      </c>
      <c r="E1315" t="s">
        <v>21</v>
      </c>
      <c r="F1315" t="s">
        <v>23</v>
      </c>
    </row>
    <row r="1316" spans="1:6" x14ac:dyDescent="0.3">
      <c r="A1316">
        <v>1315</v>
      </c>
      <c r="B1316" t="s">
        <v>14</v>
      </c>
      <c r="C1316" t="s">
        <v>12</v>
      </c>
      <c r="D1316" t="s">
        <v>8</v>
      </c>
      <c r="E1316" t="s">
        <v>21</v>
      </c>
      <c r="F1316" t="s">
        <v>20</v>
      </c>
    </row>
    <row r="1317" spans="1:6" x14ac:dyDescent="0.3">
      <c r="A1317">
        <v>1316</v>
      </c>
      <c r="B1317" t="s">
        <v>25</v>
      </c>
      <c r="C1317" t="s">
        <v>12</v>
      </c>
      <c r="D1317" t="s">
        <v>8</v>
      </c>
      <c r="E1317" t="s">
        <v>21</v>
      </c>
      <c r="F1317" t="s">
        <v>23</v>
      </c>
    </row>
    <row r="1318" spans="1:6" x14ac:dyDescent="0.3">
      <c r="A1318">
        <v>1317</v>
      </c>
      <c r="B1318" t="s">
        <v>11</v>
      </c>
      <c r="C1318" t="s">
        <v>7</v>
      </c>
      <c r="D1318" t="s">
        <v>8</v>
      </c>
      <c r="E1318" t="s">
        <v>9</v>
      </c>
      <c r="F1318" t="s">
        <v>10</v>
      </c>
    </row>
    <row r="1319" spans="1:6" x14ac:dyDescent="0.3">
      <c r="A1319">
        <v>1318</v>
      </c>
      <c r="B1319" t="s">
        <v>18</v>
      </c>
      <c r="C1319" t="s">
        <v>7</v>
      </c>
      <c r="D1319" t="s">
        <v>22</v>
      </c>
      <c r="E1319" t="s">
        <v>19</v>
      </c>
      <c r="F1319" t="s">
        <v>23</v>
      </c>
    </row>
    <row r="1320" spans="1:6" x14ac:dyDescent="0.3">
      <c r="A1320">
        <v>1319</v>
      </c>
      <c r="B1320" t="s">
        <v>11</v>
      </c>
      <c r="C1320" t="s">
        <v>7</v>
      </c>
      <c r="D1320" t="s">
        <v>22</v>
      </c>
      <c r="E1320" t="s">
        <v>9</v>
      </c>
      <c r="F1320" t="s">
        <v>13</v>
      </c>
    </row>
    <row r="1321" spans="1:6" x14ac:dyDescent="0.3">
      <c r="A1321">
        <v>1320</v>
      </c>
      <c r="B1321" t="s">
        <v>16</v>
      </c>
      <c r="C1321" t="s">
        <v>12</v>
      </c>
      <c r="D1321" t="s">
        <v>8</v>
      </c>
      <c r="E1321" t="s">
        <v>19</v>
      </c>
      <c r="F1321" t="s">
        <v>10</v>
      </c>
    </row>
    <row r="1322" spans="1:6" x14ac:dyDescent="0.3">
      <c r="A1322">
        <v>1321</v>
      </c>
      <c r="B1322" t="s">
        <v>25</v>
      </c>
      <c r="C1322" t="s">
        <v>12</v>
      </c>
      <c r="D1322" t="s">
        <v>22</v>
      </c>
      <c r="E1322" t="s">
        <v>19</v>
      </c>
      <c r="F1322" t="s">
        <v>10</v>
      </c>
    </row>
    <row r="1323" spans="1:6" x14ac:dyDescent="0.3">
      <c r="A1323">
        <v>1322</v>
      </c>
      <c r="B1323" t="s">
        <v>14</v>
      </c>
      <c r="C1323" t="s">
        <v>7</v>
      </c>
      <c r="D1323" t="s">
        <v>1</v>
      </c>
      <c r="E1323" t="s">
        <v>21</v>
      </c>
      <c r="F1323" t="s">
        <v>20</v>
      </c>
    </row>
    <row r="1324" spans="1:6" x14ac:dyDescent="0.3">
      <c r="A1324">
        <v>1323</v>
      </c>
      <c r="B1324" t="s">
        <v>18</v>
      </c>
      <c r="C1324" t="s">
        <v>7</v>
      </c>
      <c r="D1324" t="s">
        <v>1</v>
      </c>
      <c r="E1324" t="s">
        <v>21</v>
      </c>
      <c r="F1324" t="s">
        <v>23</v>
      </c>
    </row>
    <row r="1325" spans="1:6" x14ac:dyDescent="0.3">
      <c r="A1325">
        <v>1324</v>
      </c>
      <c r="B1325" t="s">
        <v>16</v>
      </c>
      <c r="C1325" t="s">
        <v>12</v>
      </c>
      <c r="D1325" t="s">
        <v>1</v>
      </c>
      <c r="E1325" t="s">
        <v>9</v>
      </c>
      <c r="F1325" t="s">
        <v>20</v>
      </c>
    </row>
    <row r="1326" spans="1:6" x14ac:dyDescent="0.3">
      <c r="A1326">
        <v>1325</v>
      </c>
      <c r="B1326" t="s">
        <v>25</v>
      </c>
      <c r="C1326" t="s">
        <v>12</v>
      </c>
      <c r="D1326" t="s">
        <v>22</v>
      </c>
      <c r="E1326" t="s">
        <v>21</v>
      </c>
      <c r="F1326" t="s">
        <v>20</v>
      </c>
    </row>
    <row r="1327" spans="1:6" x14ac:dyDescent="0.3">
      <c r="A1327">
        <v>1326</v>
      </c>
      <c r="B1327" t="s">
        <v>6</v>
      </c>
      <c r="C1327" t="s">
        <v>12</v>
      </c>
      <c r="D1327" t="s">
        <v>8</v>
      </c>
      <c r="E1327" t="s">
        <v>9</v>
      </c>
      <c r="F1327" t="s">
        <v>23</v>
      </c>
    </row>
    <row r="1328" spans="1:6" x14ac:dyDescent="0.3">
      <c r="A1328">
        <v>1327</v>
      </c>
      <c r="B1328" t="s">
        <v>25</v>
      </c>
      <c r="C1328" t="s">
        <v>7</v>
      </c>
      <c r="D1328" t="s">
        <v>1</v>
      </c>
      <c r="E1328" t="s">
        <v>21</v>
      </c>
      <c r="F1328" t="s">
        <v>23</v>
      </c>
    </row>
    <row r="1329" spans="1:6" x14ac:dyDescent="0.3">
      <c r="A1329">
        <v>1328</v>
      </c>
      <c r="B1329" t="s">
        <v>14</v>
      </c>
      <c r="C1329" t="s">
        <v>7</v>
      </c>
      <c r="D1329" t="s">
        <v>1</v>
      </c>
      <c r="E1329" t="s">
        <v>15</v>
      </c>
      <c r="F1329" t="s">
        <v>13</v>
      </c>
    </row>
    <row r="1330" spans="1:6" x14ac:dyDescent="0.3">
      <c r="A1330">
        <v>1329</v>
      </c>
      <c r="B1330" t="s">
        <v>6</v>
      </c>
      <c r="C1330" t="s">
        <v>7</v>
      </c>
      <c r="D1330" t="s">
        <v>1</v>
      </c>
      <c r="E1330" t="s">
        <v>21</v>
      </c>
      <c r="F1330" t="s">
        <v>13</v>
      </c>
    </row>
    <row r="1331" spans="1:6" x14ac:dyDescent="0.3">
      <c r="A1331">
        <v>1330</v>
      </c>
      <c r="B1331" t="s">
        <v>25</v>
      </c>
      <c r="C1331" t="s">
        <v>7</v>
      </c>
      <c r="D1331" t="s">
        <v>22</v>
      </c>
      <c r="E1331" t="s">
        <v>9</v>
      </c>
      <c r="F1331" t="s">
        <v>13</v>
      </c>
    </row>
    <row r="1332" spans="1:6" x14ac:dyDescent="0.3">
      <c r="A1332">
        <v>1331</v>
      </c>
      <c r="B1332" t="s">
        <v>25</v>
      </c>
      <c r="C1332" t="s">
        <v>7</v>
      </c>
      <c r="D1332" t="s">
        <v>22</v>
      </c>
      <c r="E1332" t="s">
        <v>15</v>
      </c>
      <c r="F1332" t="s">
        <v>13</v>
      </c>
    </row>
    <row r="1333" spans="1:6" x14ac:dyDescent="0.3">
      <c r="A1333">
        <v>1332</v>
      </c>
      <c r="B1333" t="s">
        <v>18</v>
      </c>
      <c r="C1333" t="s">
        <v>7</v>
      </c>
      <c r="D1333" t="s">
        <v>22</v>
      </c>
      <c r="E1333" t="s">
        <v>21</v>
      </c>
      <c r="F1333" t="s">
        <v>10</v>
      </c>
    </row>
    <row r="1334" spans="1:6" x14ac:dyDescent="0.3">
      <c r="A1334">
        <v>1333</v>
      </c>
      <c r="B1334" t="s">
        <v>6</v>
      </c>
      <c r="C1334" t="s">
        <v>12</v>
      </c>
      <c r="D1334" t="s">
        <v>1</v>
      </c>
      <c r="E1334" t="s">
        <v>9</v>
      </c>
      <c r="F1334" t="s">
        <v>10</v>
      </c>
    </row>
    <row r="1335" spans="1:6" x14ac:dyDescent="0.3">
      <c r="A1335">
        <v>1334</v>
      </c>
      <c r="B1335" t="s">
        <v>18</v>
      </c>
      <c r="C1335" t="s">
        <v>7</v>
      </c>
      <c r="D1335" t="s">
        <v>8</v>
      </c>
      <c r="E1335" t="s">
        <v>21</v>
      </c>
      <c r="F1335" t="s">
        <v>20</v>
      </c>
    </row>
    <row r="1336" spans="1:6" x14ac:dyDescent="0.3">
      <c r="A1336">
        <v>1335</v>
      </c>
      <c r="B1336" t="s">
        <v>18</v>
      </c>
      <c r="C1336" t="s">
        <v>7</v>
      </c>
      <c r="D1336" t="s">
        <v>1</v>
      </c>
      <c r="E1336" t="s">
        <v>19</v>
      </c>
      <c r="F1336" t="s">
        <v>10</v>
      </c>
    </row>
    <row r="1337" spans="1:6" x14ac:dyDescent="0.3">
      <c r="A1337">
        <v>1336</v>
      </c>
      <c r="B1337" t="s">
        <v>11</v>
      </c>
      <c r="C1337" t="s">
        <v>7</v>
      </c>
      <c r="D1337" t="s">
        <v>22</v>
      </c>
      <c r="E1337" t="s">
        <v>21</v>
      </c>
      <c r="F1337" t="s">
        <v>13</v>
      </c>
    </row>
    <row r="1338" spans="1:6" x14ac:dyDescent="0.3">
      <c r="A1338">
        <v>1337</v>
      </c>
      <c r="B1338" t="s">
        <v>11</v>
      </c>
      <c r="C1338" t="s">
        <v>24</v>
      </c>
      <c r="D1338" t="s">
        <v>22</v>
      </c>
      <c r="E1338" t="s">
        <v>26</v>
      </c>
      <c r="F1338" t="s">
        <v>23</v>
      </c>
    </row>
    <row r="1339" spans="1:6" x14ac:dyDescent="0.3">
      <c r="A1339">
        <v>1338</v>
      </c>
      <c r="B1339" t="s">
        <v>18</v>
      </c>
      <c r="C1339" t="s">
        <v>12</v>
      </c>
      <c r="D1339" t="s">
        <v>1</v>
      </c>
      <c r="E1339" t="s">
        <v>19</v>
      </c>
      <c r="F1339" t="s">
        <v>10</v>
      </c>
    </row>
    <row r="1340" spans="1:6" x14ac:dyDescent="0.3">
      <c r="A1340">
        <v>1339</v>
      </c>
      <c r="B1340" t="s">
        <v>11</v>
      </c>
      <c r="C1340" t="s">
        <v>12</v>
      </c>
      <c r="D1340" t="s">
        <v>22</v>
      </c>
      <c r="E1340" t="s">
        <v>21</v>
      </c>
      <c r="F1340" t="s">
        <v>20</v>
      </c>
    </row>
    <row r="1341" spans="1:6" x14ac:dyDescent="0.3">
      <c r="A1341">
        <v>1340</v>
      </c>
      <c r="B1341" t="s">
        <v>18</v>
      </c>
      <c r="C1341" t="s">
        <v>12</v>
      </c>
      <c r="D1341" t="s">
        <v>1</v>
      </c>
      <c r="E1341" t="s">
        <v>19</v>
      </c>
      <c r="F1341" t="s">
        <v>13</v>
      </c>
    </row>
    <row r="1342" spans="1:6" x14ac:dyDescent="0.3">
      <c r="A1342">
        <v>1341</v>
      </c>
      <c r="B1342" t="s">
        <v>16</v>
      </c>
      <c r="C1342" t="s">
        <v>7</v>
      </c>
      <c r="D1342" t="s">
        <v>22</v>
      </c>
      <c r="E1342" t="s">
        <v>19</v>
      </c>
      <c r="F1342" t="s">
        <v>10</v>
      </c>
    </row>
    <row r="1343" spans="1:6" x14ac:dyDescent="0.3">
      <c r="A1343">
        <v>1342</v>
      </c>
      <c r="B1343" t="s">
        <v>16</v>
      </c>
      <c r="C1343" t="s">
        <v>12</v>
      </c>
      <c r="D1343" t="s">
        <v>8</v>
      </c>
      <c r="E1343" t="s">
        <v>9</v>
      </c>
      <c r="F1343" t="s">
        <v>23</v>
      </c>
    </row>
    <row r="1344" spans="1:6" x14ac:dyDescent="0.3">
      <c r="A1344">
        <v>1343</v>
      </c>
      <c r="B1344" t="s">
        <v>6</v>
      </c>
      <c r="C1344" t="s">
        <v>7</v>
      </c>
      <c r="D1344" t="s">
        <v>8</v>
      </c>
      <c r="E1344" t="s">
        <v>21</v>
      </c>
      <c r="F1344" t="s">
        <v>23</v>
      </c>
    </row>
    <row r="1345" spans="1:6" x14ac:dyDescent="0.3">
      <c r="A1345">
        <v>1344</v>
      </c>
      <c r="B1345" t="s">
        <v>11</v>
      </c>
      <c r="C1345" t="s">
        <v>12</v>
      </c>
      <c r="D1345" t="s">
        <v>22</v>
      </c>
      <c r="E1345" t="s">
        <v>9</v>
      </c>
      <c r="F1345" t="s">
        <v>23</v>
      </c>
    </row>
    <row r="1346" spans="1:6" x14ac:dyDescent="0.3">
      <c r="A1346">
        <v>1345</v>
      </c>
      <c r="B1346" t="s">
        <v>6</v>
      </c>
      <c r="C1346" t="s">
        <v>7</v>
      </c>
      <c r="D1346" t="s">
        <v>22</v>
      </c>
      <c r="E1346" t="s">
        <v>21</v>
      </c>
      <c r="F1346" t="s">
        <v>10</v>
      </c>
    </row>
    <row r="1347" spans="1:6" x14ac:dyDescent="0.3">
      <c r="A1347">
        <v>1346</v>
      </c>
      <c r="B1347" t="s">
        <v>18</v>
      </c>
      <c r="C1347" t="s">
        <v>7</v>
      </c>
      <c r="D1347" t="s">
        <v>22</v>
      </c>
      <c r="E1347" t="s">
        <v>21</v>
      </c>
      <c r="F1347" t="s">
        <v>20</v>
      </c>
    </row>
    <row r="1348" spans="1:6" x14ac:dyDescent="0.3">
      <c r="A1348">
        <v>1347</v>
      </c>
      <c r="B1348" t="s">
        <v>18</v>
      </c>
      <c r="C1348" t="s">
        <v>12</v>
      </c>
      <c r="D1348" t="s">
        <v>8</v>
      </c>
      <c r="E1348" t="s">
        <v>9</v>
      </c>
      <c r="F1348" t="s">
        <v>13</v>
      </c>
    </row>
    <row r="1349" spans="1:6" x14ac:dyDescent="0.3">
      <c r="A1349">
        <v>1348</v>
      </c>
      <c r="B1349" t="s">
        <v>25</v>
      </c>
      <c r="C1349" t="s">
        <v>12</v>
      </c>
      <c r="D1349" t="s">
        <v>1</v>
      </c>
      <c r="E1349" t="s">
        <v>15</v>
      </c>
      <c r="F1349" t="s">
        <v>20</v>
      </c>
    </row>
    <row r="1350" spans="1:6" x14ac:dyDescent="0.3">
      <c r="A1350">
        <v>1349</v>
      </c>
      <c r="B1350" t="s">
        <v>11</v>
      </c>
      <c r="C1350" t="s">
        <v>24</v>
      </c>
      <c r="D1350" t="s">
        <v>1</v>
      </c>
      <c r="E1350" t="s">
        <v>26</v>
      </c>
      <c r="F1350" t="s">
        <v>23</v>
      </c>
    </row>
    <row r="1351" spans="1:6" x14ac:dyDescent="0.3">
      <c r="A1351">
        <v>1350</v>
      </c>
      <c r="B1351" t="s">
        <v>18</v>
      </c>
      <c r="C1351" t="s">
        <v>7</v>
      </c>
      <c r="D1351" t="s">
        <v>1</v>
      </c>
      <c r="E1351" t="s">
        <v>19</v>
      </c>
      <c r="F1351" t="s">
        <v>10</v>
      </c>
    </row>
    <row r="1352" spans="1:6" x14ac:dyDescent="0.3">
      <c r="A1352">
        <v>1351</v>
      </c>
      <c r="B1352" t="s">
        <v>14</v>
      </c>
      <c r="C1352" t="s">
        <v>7</v>
      </c>
      <c r="D1352" t="s">
        <v>8</v>
      </c>
      <c r="E1352" t="s">
        <v>15</v>
      </c>
      <c r="F1352" t="s">
        <v>23</v>
      </c>
    </row>
    <row r="1353" spans="1:6" x14ac:dyDescent="0.3">
      <c r="A1353">
        <v>1352</v>
      </c>
      <c r="B1353" t="s">
        <v>14</v>
      </c>
      <c r="C1353" t="s">
        <v>12</v>
      </c>
      <c r="D1353" t="s">
        <v>8</v>
      </c>
      <c r="E1353" t="s">
        <v>9</v>
      </c>
      <c r="F1353" t="s">
        <v>23</v>
      </c>
    </row>
    <row r="1354" spans="1:6" x14ac:dyDescent="0.3">
      <c r="A1354">
        <v>1353</v>
      </c>
      <c r="B1354" t="s">
        <v>11</v>
      </c>
      <c r="C1354" t="s">
        <v>7</v>
      </c>
      <c r="D1354" t="s">
        <v>1</v>
      </c>
      <c r="E1354" t="s">
        <v>9</v>
      </c>
      <c r="F1354" t="s">
        <v>20</v>
      </c>
    </row>
    <row r="1355" spans="1:6" x14ac:dyDescent="0.3">
      <c r="A1355">
        <v>1354</v>
      </c>
      <c r="B1355" t="s">
        <v>16</v>
      </c>
      <c r="C1355" t="s">
        <v>12</v>
      </c>
      <c r="D1355" t="s">
        <v>22</v>
      </c>
      <c r="E1355" t="s">
        <v>21</v>
      </c>
      <c r="F1355" t="s">
        <v>20</v>
      </c>
    </row>
    <row r="1356" spans="1:6" x14ac:dyDescent="0.3">
      <c r="A1356">
        <v>1355</v>
      </c>
      <c r="B1356" t="s">
        <v>11</v>
      </c>
      <c r="C1356" t="s">
        <v>24</v>
      </c>
      <c r="D1356" t="s">
        <v>22</v>
      </c>
      <c r="E1356" t="s">
        <v>15</v>
      </c>
      <c r="F1356" t="s">
        <v>13</v>
      </c>
    </row>
    <row r="1357" spans="1:6" x14ac:dyDescent="0.3">
      <c r="A1357">
        <v>1356</v>
      </c>
      <c r="B1357" t="s">
        <v>6</v>
      </c>
      <c r="C1357" t="s">
        <v>12</v>
      </c>
      <c r="D1357" t="s">
        <v>8</v>
      </c>
      <c r="E1357" t="s">
        <v>9</v>
      </c>
      <c r="F1357" t="s">
        <v>10</v>
      </c>
    </row>
    <row r="1358" spans="1:6" x14ac:dyDescent="0.3">
      <c r="A1358">
        <v>1357</v>
      </c>
      <c r="B1358" t="s">
        <v>16</v>
      </c>
      <c r="C1358" t="s">
        <v>12</v>
      </c>
      <c r="D1358" t="s">
        <v>22</v>
      </c>
      <c r="E1358" t="s">
        <v>21</v>
      </c>
      <c r="F1358" t="s">
        <v>10</v>
      </c>
    </row>
    <row r="1359" spans="1:6" x14ac:dyDescent="0.3">
      <c r="A1359">
        <v>1358</v>
      </c>
      <c r="B1359" t="s">
        <v>16</v>
      </c>
      <c r="C1359" t="s">
        <v>7</v>
      </c>
      <c r="D1359" t="s">
        <v>1</v>
      </c>
      <c r="E1359" t="s">
        <v>9</v>
      </c>
      <c r="F1359" t="s">
        <v>13</v>
      </c>
    </row>
    <row r="1360" spans="1:6" x14ac:dyDescent="0.3">
      <c r="A1360">
        <v>1359</v>
      </c>
      <c r="B1360" t="s">
        <v>11</v>
      </c>
      <c r="C1360" t="s">
        <v>12</v>
      </c>
      <c r="D1360" t="s">
        <v>22</v>
      </c>
      <c r="E1360" t="s">
        <v>9</v>
      </c>
      <c r="F1360" t="s">
        <v>20</v>
      </c>
    </row>
    <row r="1361" spans="1:6" x14ac:dyDescent="0.3">
      <c r="A1361">
        <v>1360</v>
      </c>
      <c r="B1361" t="s">
        <v>6</v>
      </c>
      <c r="C1361" t="s">
        <v>7</v>
      </c>
      <c r="D1361" t="s">
        <v>1</v>
      </c>
      <c r="E1361" t="s">
        <v>9</v>
      </c>
      <c r="F1361" t="s">
        <v>13</v>
      </c>
    </row>
    <row r="1362" spans="1:6" x14ac:dyDescent="0.3">
      <c r="A1362">
        <v>1361</v>
      </c>
      <c r="B1362" t="s">
        <v>18</v>
      </c>
      <c r="C1362" t="s">
        <v>12</v>
      </c>
      <c r="D1362" t="s">
        <v>1</v>
      </c>
      <c r="E1362" t="s">
        <v>19</v>
      </c>
      <c r="F1362" t="s">
        <v>10</v>
      </c>
    </row>
    <row r="1363" spans="1:6" x14ac:dyDescent="0.3">
      <c r="A1363">
        <v>1362</v>
      </c>
      <c r="B1363" t="s">
        <v>25</v>
      </c>
      <c r="C1363" t="s">
        <v>12</v>
      </c>
      <c r="D1363" t="s">
        <v>1</v>
      </c>
      <c r="E1363" t="s">
        <v>15</v>
      </c>
      <c r="F1363" t="s">
        <v>13</v>
      </c>
    </row>
    <row r="1364" spans="1:6" x14ac:dyDescent="0.3">
      <c r="A1364">
        <v>1363</v>
      </c>
      <c r="B1364" t="s">
        <v>18</v>
      </c>
      <c r="C1364" t="s">
        <v>12</v>
      </c>
      <c r="D1364" t="s">
        <v>1</v>
      </c>
      <c r="E1364" t="s">
        <v>21</v>
      </c>
      <c r="F1364" t="s">
        <v>13</v>
      </c>
    </row>
    <row r="1365" spans="1:6" x14ac:dyDescent="0.3">
      <c r="A1365">
        <v>1364</v>
      </c>
      <c r="B1365" t="s">
        <v>14</v>
      </c>
      <c r="C1365" t="s">
        <v>24</v>
      </c>
      <c r="D1365" t="s">
        <v>1</v>
      </c>
      <c r="E1365" t="s">
        <v>26</v>
      </c>
      <c r="F1365" t="s">
        <v>23</v>
      </c>
    </row>
    <row r="1366" spans="1:6" x14ac:dyDescent="0.3">
      <c r="A1366">
        <v>1365</v>
      </c>
      <c r="B1366" t="s">
        <v>6</v>
      </c>
      <c r="C1366" t="s">
        <v>7</v>
      </c>
      <c r="D1366" t="s">
        <v>1</v>
      </c>
      <c r="E1366" t="s">
        <v>9</v>
      </c>
      <c r="F1366" t="s">
        <v>10</v>
      </c>
    </row>
    <row r="1367" spans="1:6" x14ac:dyDescent="0.3">
      <c r="A1367">
        <v>1366</v>
      </c>
      <c r="B1367" t="s">
        <v>14</v>
      </c>
      <c r="C1367" t="s">
        <v>12</v>
      </c>
      <c r="D1367" t="s">
        <v>22</v>
      </c>
      <c r="E1367" t="s">
        <v>9</v>
      </c>
      <c r="F1367" t="s">
        <v>10</v>
      </c>
    </row>
    <row r="1368" spans="1:6" x14ac:dyDescent="0.3">
      <c r="A1368">
        <v>1367</v>
      </c>
      <c r="B1368" t="s">
        <v>14</v>
      </c>
      <c r="C1368" t="s">
        <v>7</v>
      </c>
      <c r="D1368" t="s">
        <v>1</v>
      </c>
      <c r="E1368" t="s">
        <v>21</v>
      </c>
      <c r="F1368" t="s">
        <v>10</v>
      </c>
    </row>
    <row r="1369" spans="1:6" x14ac:dyDescent="0.3">
      <c r="A1369">
        <v>1368</v>
      </c>
      <c r="B1369" t="s">
        <v>11</v>
      </c>
      <c r="C1369" t="s">
        <v>24</v>
      </c>
      <c r="D1369" t="s">
        <v>22</v>
      </c>
      <c r="E1369" t="s">
        <v>26</v>
      </c>
      <c r="F1369" t="s">
        <v>13</v>
      </c>
    </row>
    <row r="1370" spans="1:6" x14ac:dyDescent="0.3">
      <c r="A1370">
        <v>1369</v>
      </c>
      <c r="B1370" t="s">
        <v>6</v>
      </c>
      <c r="C1370" t="s">
        <v>12</v>
      </c>
      <c r="D1370" t="s">
        <v>22</v>
      </c>
      <c r="E1370" t="s">
        <v>21</v>
      </c>
      <c r="F1370" t="s">
        <v>20</v>
      </c>
    </row>
    <row r="1371" spans="1:6" x14ac:dyDescent="0.3">
      <c r="A1371">
        <v>1370</v>
      </c>
      <c r="B1371" t="s">
        <v>16</v>
      </c>
      <c r="C1371" t="s">
        <v>7</v>
      </c>
      <c r="D1371" t="s">
        <v>22</v>
      </c>
      <c r="E1371" t="s">
        <v>9</v>
      </c>
      <c r="F1371" t="s">
        <v>20</v>
      </c>
    </row>
    <row r="1372" spans="1:6" x14ac:dyDescent="0.3">
      <c r="A1372">
        <v>1371</v>
      </c>
      <c r="B1372" t="s">
        <v>16</v>
      </c>
      <c r="C1372" t="s">
        <v>24</v>
      </c>
      <c r="D1372" t="s">
        <v>22</v>
      </c>
      <c r="E1372" t="s">
        <v>26</v>
      </c>
      <c r="F1372" t="s">
        <v>13</v>
      </c>
    </row>
    <row r="1373" spans="1:6" x14ac:dyDescent="0.3">
      <c r="A1373">
        <v>1372</v>
      </c>
      <c r="B1373" t="s">
        <v>25</v>
      </c>
      <c r="C1373" t="s">
        <v>7</v>
      </c>
      <c r="D1373" t="s">
        <v>22</v>
      </c>
      <c r="E1373" t="s">
        <v>9</v>
      </c>
      <c r="F1373" t="s">
        <v>10</v>
      </c>
    </row>
    <row r="1374" spans="1:6" x14ac:dyDescent="0.3">
      <c r="A1374">
        <v>1373</v>
      </c>
      <c r="B1374" t="s">
        <v>6</v>
      </c>
      <c r="C1374" t="s">
        <v>7</v>
      </c>
      <c r="D1374" t="s">
        <v>8</v>
      </c>
      <c r="E1374" t="s">
        <v>21</v>
      </c>
      <c r="F1374" t="s">
        <v>23</v>
      </c>
    </row>
    <row r="1375" spans="1:6" x14ac:dyDescent="0.3">
      <c r="A1375">
        <v>1374</v>
      </c>
      <c r="B1375" t="s">
        <v>16</v>
      </c>
      <c r="C1375" t="s">
        <v>24</v>
      </c>
      <c r="D1375" t="s">
        <v>22</v>
      </c>
      <c r="E1375" t="s">
        <v>15</v>
      </c>
      <c r="F1375" t="s">
        <v>20</v>
      </c>
    </row>
    <row r="1376" spans="1:6" x14ac:dyDescent="0.3">
      <c r="A1376">
        <v>1375</v>
      </c>
      <c r="B1376" t="s">
        <v>11</v>
      </c>
      <c r="C1376" t="s">
        <v>7</v>
      </c>
      <c r="D1376" t="s">
        <v>8</v>
      </c>
      <c r="E1376" t="s">
        <v>19</v>
      </c>
      <c r="F1376" t="s">
        <v>10</v>
      </c>
    </row>
    <row r="1377" spans="1:6" x14ac:dyDescent="0.3">
      <c r="A1377">
        <v>1376</v>
      </c>
      <c r="B1377" t="s">
        <v>18</v>
      </c>
      <c r="C1377" t="s">
        <v>7</v>
      </c>
      <c r="D1377" t="s">
        <v>1</v>
      </c>
      <c r="E1377" t="s">
        <v>19</v>
      </c>
      <c r="F1377" t="s">
        <v>10</v>
      </c>
    </row>
    <row r="1378" spans="1:6" x14ac:dyDescent="0.3">
      <c r="A1378">
        <v>1377</v>
      </c>
      <c r="B1378" t="s">
        <v>25</v>
      </c>
      <c r="C1378" t="s">
        <v>12</v>
      </c>
      <c r="D1378" t="s">
        <v>22</v>
      </c>
      <c r="E1378" t="s">
        <v>19</v>
      </c>
      <c r="F1378" t="s">
        <v>10</v>
      </c>
    </row>
    <row r="1379" spans="1:6" x14ac:dyDescent="0.3">
      <c r="A1379">
        <v>1378</v>
      </c>
      <c r="B1379" t="s">
        <v>6</v>
      </c>
      <c r="C1379" t="s">
        <v>7</v>
      </c>
      <c r="D1379" t="s">
        <v>8</v>
      </c>
      <c r="E1379" t="s">
        <v>21</v>
      </c>
      <c r="F1379" t="s">
        <v>10</v>
      </c>
    </row>
    <row r="1380" spans="1:6" x14ac:dyDescent="0.3">
      <c r="A1380">
        <v>1379</v>
      </c>
      <c r="B1380" t="s">
        <v>18</v>
      </c>
      <c r="C1380" t="s">
        <v>12</v>
      </c>
      <c r="D1380" t="s">
        <v>22</v>
      </c>
      <c r="E1380" t="s">
        <v>21</v>
      </c>
      <c r="F1380" t="s">
        <v>13</v>
      </c>
    </row>
    <row r="1381" spans="1:6" x14ac:dyDescent="0.3">
      <c r="A1381">
        <v>1380</v>
      </c>
      <c r="B1381" t="s">
        <v>6</v>
      </c>
      <c r="C1381" t="s">
        <v>12</v>
      </c>
      <c r="D1381" t="s">
        <v>1</v>
      </c>
      <c r="E1381" t="s">
        <v>9</v>
      </c>
      <c r="F1381" t="s">
        <v>10</v>
      </c>
    </row>
    <row r="1382" spans="1:6" x14ac:dyDescent="0.3">
      <c r="A1382">
        <v>1381</v>
      </c>
      <c r="B1382" t="s">
        <v>18</v>
      </c>
      <c r="C1382" t="s">
        <v>7</v>
      </c>
      <c r="D1382" t="s">
        <v>1</v>
      </c>
      <c r="E1382" t="s">
        <v>9</v>
      </c>
      <c r="F1382" t="s">
        <v>20</v>
      </c>
    </row>
    <row r="1383" spans="1:6" x14ac:dyDescent="0.3">
      <c r="A1383">
        <v>1382</v>
      </c>
      <c r="B1383" t="s">
        <v>14</v>
      </c>
      <c r="C1383" t="s">
        <v>7</v>
      </c>
      <c r="D1383" t="s">
        <v>22</v>
      </c>
      <c r="E1383" t="s">
        <v>9</v>
      </c>
      <c r="F1383" t="s">
        <v>10</v>
      </c>
    </row>
    <row r="1384" spans="1:6" x14ac:dyDescent="0.3">
      <c r="A1384">
        <v>1383</v>
      </c>
      <c r="B1384" t="s">
        <v>14</v>
      </c>
      <c r="C1384" t="s">
        <v>7</v>
      </c>
      <c r="D1384" t="s">
        <v>8</v>
      </c>
      <c r="E1384" t="s">
        <v>21</v>
      </c>
      <c r="F1384" t="s">
        <v>20</v>
      </c>
    </row>
    <row r="1385" spans="1:6" x14ac:dyDescent="0.3">
      <c r="A1385">
        <v>1384</v>
      </c>
      <c r="B1385" t="s">
        <v>6</v>
      </c>
      <c r="C1385" t="s">
        <v>12</v>
      </c>
      <c r="D1385" t="s">
        <v>22</v>
      </c>
      <c r="E1385" t="s">
        <v>21</v>
      </c>
      <c r="F1385" t="s">
        <v>23</v>
      </c>
    </row>
    <row r="1386" spans="1:6" x14ac:dyDescent="0.3">
      <c r="A1386">
        <v>1385</v>
      </c>
      <c r="B1386" t="s">
        <v>18</v>
      </c>
      <c r="C1386" t="s">
        <v>7</v>
      </c>
      <c r="D1386" t="s">
        <v>1</v>
      </c>
      <c r="E1386" t="s">
        <v>19</v>
      </c>
      <c r="F1386" t="s">
        <v>10</v>
      </c>
    </row>
    <row r="1387" spans="1:6" x14ac:dyDescent="0.3">
      <c r="A1387">
        <v>1386</v>
      </c>
      <c r="B1387" t="s">
        <v>25</v>
      </c>
      <c r="C1387" t="s">
        <v>7</v>
      </c>
      <c r="D1387" t="s">
        <v>8</v>
      </c>
      <c r="E1387" t="s">
        <v>9</v>
      </c>
      <c r="F1387" t="s">
        <v>10</v>
      </c>
    </row>
    <row r="1388" spans="1:6" x14ac:dyDescent="0.3">
      <c r="A1388">
        <v>1387</v>
      </c>
      <c r="B1388" t="s">
        <v>14</v>
      </c>
      <c r="C1388" t="s">
        <v>7</v>
      </c>
      <c r="D1388" t="s">
        <v>22</v>
      </c>
      <c r="E1388" t="s">
        <v>21</v>
      </c>
      <c r="F1388" t="s">
        <v>20</v>
      </c>
    </row>
    <row r="1389" spans="1:6" x14ac:dyDescent="0.3">
      <c r="A1389">
        <v>1388</v>
      </c>
      <c r="B1389" t="s">
        <v>11</v>
      </c>
      <c r="C1389" t="s">
        <v>7</v>
      </c>
      <c r="D1389" t="s">
        <v>22</v>
      </c>
      <c r="E1389" t="s">
        <v>15</v>
      </c>
      <c r="F1389" t="s">
        <v>13</v>
      </c>
    </row>
    <row r="1390" spans="1:6" x14ac:dyDescent="0.3">
      <c r="A1390">
        <v>1389</v>
      </c>
      <c r="B1390" t="s">
        <v>14</v>
      </c>
      <c r="C1390" t="s">
        <v>24</v>
      </c>
      <c r="D1390" t="s">
        <v>1</v>
      </c>
      <c r="E1390" t="s">
        <v>15</v>
      </c>
      <c r="F1390" t="s">
        <v>23</v>
      </c>
    </row>
    <row r="1391" spans="1:6" x14ac:dyDescent="0.3">
      <c r="A1391">
        <v>1390</v>
      </c>
      <c r="B1391" t="s">
        <v>18</v>
      </c>
      <c r="C1391" t="s">
        <v>7</v>
      </c>
      <c r="D1391" t="s">
        <v>22</v>
      </c>
      <c r="E1391" t="s">
        <v>9</v>
      </c>
      <c r="F1391" t="s">
        <v>20</v>
      </c>
    </row>
    <row r="1392" spans="1:6" x14ac:dyDescent="0.3">
      <c r="A1392">
        <v>1391</v>
      </c>
      <c r="B1392" t="s">
        <v>14</v>
      </c>
      <c r="C1392" t="s">
        <v>12</v>
      </c>
      <c r="D1392" t="s">
        <v>8</v>
      </c>
      <c r="E1392" t="s">
        <v>9</v>
      </c>
      <c r="F1392" t="s">
        <v>10</v>
      </c>
    </row>
    <row r="1393" spans="1:6" x14ac:dyDescent="0.3">
      <c r="A1393">
        <v>1392</v>
      </c>
      <c r="B1393" t="s">
        <v>25</v>
      </c>
      <c r="C1393" t="s">
        <v>7</v>
      </c>
      <c r="D1393" t="s">
        <v>8</v>
      </c>
      <c r="E1393" t="s">
        <v>19</v>
      </c>
      <c r="F1393" t="s">
        <v>10</v>
      </c>
    </row>
    <row r="1394" spans="1:6" x14ac:dyDescent="0.3">
      <c r="A1394">
        <v>1393</v>
      </c>
      <c r="B1394" t="s">
        <v>18</v>
      </c>
      <c r="C1394" t="s">
        <v>7</v>
      </c>
      <c r="D1394" t="s">
        <v>1</v>
      </c>
      <c r="E1394" t="s">
        <v>21</v>
      </c>
      <c r="F1394" t="s">
        <v>10</v>
      </c>
    </row>
    <row r="1395" spans="1:6" x14ac:dyDescent="0.3">
      <c r="A1395">
        <v>1394</v>
      </c>
      <c r="B1395" t="s">
        <v>14</v>
      </c>
      <c r="C1395" t="s">
        <v>7</v>
      </c>
      <c r="D1395" t="s">
        <v>22</v>
      </c>
      <c r="E1395" t="s">
        <v>9</v>
      </c>
      <c r="F1395" t="s">
        <v>13</v>
      </c>
    </row>
    <row r="1396" spans="1:6" x14ac:dyDescent="0.3">
      <c r="A1396">
        <v>1395</v>
      </c>
      <c r="B1396" t="s">
        <v>11</v>
      </c>
      <c r="C1396" t="s">
        <v>12</v>
      </c>
      <c r="D1396" t="s">
        <v>22</v>
      </c>
      <c r="E1396" t="s">
        <v>21</v>
      </c>
      <c r="F1396" t="s">
        <v>23</v>
      </c>
    </row>
    <row r="1397" spans="1:6" x14ac:dyDescent="0.3">
      <c r="A1397">
        <v>1396</v>
      </c>
      <c r="B1397" t="s">
        <v>16</v>
      </c>
      <c r="C1397" t="s">
        <v>7</v>
      </c>
      <c r="D1397" t="s">
        <v>1</v>
      </c>
      <c r="E1397" t="s">
        <v>9</v>
      </c>
      <c r="F1397" t="s">
        <v>10</v>
      </c>
    </row>
    <row r="1398" spans="1:6" x14ac:dyDescent="0.3">
      <c r="A1398">
        <v>1397</v>
      </c>
      <c r="B1398" t="s">
        <v>16</v>
      </c>
      <c r="C1398" t="s">
        <v>12</v>
      </c>
      <c r="D1398" t="s">
        <v>8</v>
      </c>
      <c r="E1398" t="s">
        <v>19</v>
      </c>
      <c r="F1398" t="s">
        <v>10</v>
      </c>
    </row>
    <row r="1399" spans="1:6" x14ac:dyDescent="0.3">
      <c r="A1399">
        <v>1398</v>
      </c>
      <c r="B1399" t="s">
        <v>18</v>
      </c>
      <c r="C1399" t="s">
        <v>24</v>
      </c>
      <c r="D1399" t="s">
        <v>8</v>
      </c>
      <c r="E1399" t="s">
        <v>26</v>
      </c>
      <c r="F1399" t="s">
        <v>10</v>
      </c>
    </row>
    <row r="1400" spans="1:6" x14ac:dyDescent="0.3">
      <c r="A1400">
        <v>1399</v>
      </c>
      <c r="B1400" t="s">
        <v>14</v>
      </c>
      <c r="C1400" t="s">
        <v>12</v>
      </c>
      <c r="D1400" t="s">
        <v>22</v>
      </c>
      <c r="E1400" t="s">
        <v>21</v>
      </c>
      <c r="F1400" t="s">
        <v>13</v>
      </c>
    </row>
    <row r="1401" spans="1:6" x14ac:dyDescent="0.3">
      <c r="A1401">
        <v>1400</v>
      </c>
      <c r="B1401" t="s">
        <v>14</v>
      </c>
      <c r="C1401" t="s">
        <v>7</v>
      </c>
      <c r="D1401" t="s">
        <v>8</v>
      </c>
      <c r="E1401" t="s">
        <v>15</v>
      </c>
      <c r="F1401" t="s">
        <v>23</v>
      </c>
    </row>
    <row r="1402" spans="1:6" x14ac:dyDescent="0.3">
      <c r="A1402">
        <v>1401</v>
      </c>
      <c r="B1402" t="s">
        <v>14</v>
      </c>
      <c r="C1402" t="s">
        <v>7</v>
      </c>
      <c r="D1402" t="s">
        <v>8</v>
      </c>
      <c r="E1402" t="s">
        <v>21</v>
      </c>
      <c r="F1402" t="s">
        <v>20</v>
      </c>
    </row>
    <row r="1403" spans="1:6" x14ac:dyDescent="0.3">
      <c r="A1403">
        <v>1402</v>
      </c>
      <c r="B1403" t="s">
        <v>11</v>
      </c>
      <c r="C1403" t="s">
        <v>7</v>
      </c>
      <c r="D1403" t="s">
        <v>8</v>
      </c>
      <c r="E1403" t="s">
        <v>9</v>
      </c>
      <c r="F1403" t="s">
        <v>13</v>
      </c>
    </row>
    <row r="1404" spans="1:6" x14ac:dyDescent="0.3">
      <c r="A1404">
        <v>1403</v>
      </c>
      <c r="B1404" t="s">
        <v>25</v>
      </c>
      <c r="C1404" t="s">
        <v>24</v>
      </c>
      <c r="D1404" t="s">
        <v>8</v>
      </c>
      <c r="E1404" t="s">
        <v>15</v>
      </c>
      <c r="F1404" t="s">
        <v>20</v>
      </c>
    </row>
    <row r="1405" spans="1:6" x14ac:dyDescent="0.3">
      <c r="A1405">
        <v>1404</v>
      </c>
      <c r="B1405" t="s">
        <v>16</v>
      </c>
      <c r="C1405" t="s">
        <v>7</v>
      </c>
      <c r="D1405" t="s">
        <v>8</v>
      </c>
      <c r="E1405" t="s">
        <v>9</v>
      </c>
      <c r="F1405" t="s">
        <v>10</v>
      </c>
    </row>
    <row r="1406" spans="1:6" x14ac:dyDescent="0.3">
      <c r="A1406">
        <v>1405</v>
      </c>
      <c r="B1406" t="s">
        <v>11</v>
      </c>
      <c r="C1406" t="s">
        <v>7</v>
      </c>
      <c r="D1406" t="s">
        <v>1</v>
      </c>
      <c r="E1406" t="s">
        <v>9</v>
      </c>
      <c r="F1406" t="s">
        <v>10</v>
      </c>
    </row>
    <row r="1407" spans="1:6" x14ac:dyDescent="0.3">
      <c r="A1407">
        <v>1406</v>
      </c>
      <c r="B1407" t="s">
        <v>11</v>
      </c>
      <c r="C1407" t="s">
        <v>12</v>
      </c>
      <c r="D1407" t="s">
        <v>22</v>
      </c>
      <c r="E1407" t="s">
        <v>21</v>
      </c>
      <c r="F1407" t="s">
        <v>23</v>
      </c>
    </row>
    <row r="1408" spans="1:6" x14ac:dyDescent="0.3">
      <c r="A1408">
        <v>1407</v>
      </c>
      <c r="B1408" t="s">
        <v>16</v>
      </c>
      <c r="C1408" t="s">
        <v>12</v>
      </c>
      <c r="D1408" t="s">
        <v>8</v>
      </c>
      <c r="E1408" t="s">
        <v>9</v>
      </c>
      <c r="F1408" t="s">
        <v>13</v>
      </c>
    </row>
    <row r="1409" spans="1:6" x14ac:dyDescent="0.3">
      <c r="A1409">
        <v>1408</v>
      </c>
      <c r="B1409" t="s">
        <v>18</v>
      </c>
      <c r="C1409" t="s">
        <v>7</v>
      </c>
      <c r="D1409" t="s">
        <v>8</v>
      </c>
      <c r="E1409" t="s">
        <v>21</v>
      </c>
      <c r="F1409" t="s">
        <v>10</v>
      </c>
    </row>
    <row r="1410" spans="1:6" x14ac:dyDescent="0.3">
      <c r="A1410">
        <v>1409</v>
      </c>
      <c r="B1410" t="s">
        <v>14</v>
      </c>
      <c r="C1410" t="s">
        <v>7</v>
      </c>
      <c r="D1410" t="s">
        <v>1</v>
      </c>
      <c r="E1410" t="s">
        <v>9</v>
      </c>
      <c r="F1410" t="s">
        <v>10</v>
      </c>
    </row>
    <row r="1411" spans="1:6" x14ac:dyDescent="0.3">
      <c r="A1411">
        <v>1410</v>
      </c>
      <c r="B1411" t="s">
        <v>11</v>
      </c>
      <c r="C1411" t="s">
        <v>12</v>
      </c>
      <c r="D1411" t="s">
        <v>8</v>
      </c>
      <c r="E1411" t="s">
        <v>15</v>
      </c>
      <c r="F1411" t="s">
        <v>23</v>
      </c>
    </row>
    <row r="1412" spans="1:6" x14ac:dyDescent="0.3">
      <c r="A1412">
        <v>1411</v>
      </c>
      <c r="B1412" t="s">
        <v>6</v>
      </c>
      <c r="C1412" t="s">
        <v>12</v>
      </c>
      <c r="D1412" t="s">
        <v>22</v>
      </c>
      <c r="E1412" t="s">
        <v>9</v>
      </c>
      <c r="F1412" t="s">
        <v>23</v>
      </c>
    </row>
    <row r="1413" spans="1:6" x14ac:dyDescent="0.3">
      <c r="A1413">
        <v>1412</v>
      </c>
      <c r="B1413" t="s">
        <v>6</v>
      </c>
      <c r="C1413" t="s">
        <v>12</v>
      </c>
      <c r="D1413" t="s">
        <v>8</v>
      </c>
      <c r="E1413" t="s">
        <v>9</v>
      </c>
      <c r="F1413" t="s">
        <v>13</v>
      </c>
    </row>
    <row r="1414" spans="1:6" x14ac:dyDescent="0.3">
      <c r="A1414">
        <v>1413</v>
      </c>
      <c r="B1414" t="s">
        <v>16</v>
      </c>
      <c r="C1414" t="s">
        <v>7</v>
      </c>
      <c r="D1414" t="s">
        <v>22</v>
      </c>
      <c r="E1414" t="s">
        <v>9</v>
      </c>
      <c r="F1414" t="s">
        <v>10</v>
      </c>
    </row>
    <row r="1415" spans="1:6" x14ac:dyDescent="0.3">
      <c r="A1415">
        <v>1414</v>
      </c>
      <c r="B1415" t="s">
        <v>11</v>
      </c>
      <c r="C1415" t="s">
        <v>24</v>
      </c>
      <c r="D1415" t="s">
        <v>22</v>
      </c>
      <c r="E1415" t="s">
        <v>26</v>
      </c>
      <c r="F1415" t="s">
        <v>20</v>
      </c>
    </row>
    <row r="1416" spans="1:6" x14ac:dyDescent="0.3">
      <c r="A1416">
        <v>1415</v>
      </c>
      <c r="B1416" t="s">
        <v>16</v>
      </c>
      <c r="C1416" t="s">
        <v>12</v>
      </c>
      <c r="D1416" t="s">
        <v>22</v>
      </c>
      <c r="E1416" t="s">
        <v>9</v>
      </c>
      <c r="F1416" t="s">
        <v>13</v>
      </c>
    </row>
    <row r="1417" spans="1:6" x14ac:dyDescent="0.3">
      <c r="A1417">
        <v>1416</v>
      </c>
      <c r="B1417" t="s">
        <v>16</v>
      </c>
      <c r="C1417" t="s">
        <v>7</v>
      </c>
      <c r="D1417" t="s">
        <v>8</v>
      </c>
      <c r="E1417" t="s">
        <v>9</v>
      </c>
      <c r="F1417" t="s">
        <v>23</v>
      </c>
    </row>
    <row r="1418" spans="1:6" x14ac:dyDescent="0.3">
      <c r="A1418">
        <v>1417</v>
      </c>
      <c r="B1418" t="s">
        <v>16</v>
      </c>
      <c r="C1418" t="s">
        <v>12</v>
      </c>
      <c r="D1418" t="s">
        <v>1</v>
      </c>
      <c r="E1418" t="s">
        <v>15</v>
      </c>
      <c r="F1418" t="s">
        <v>23</v>
      </c>
    </row>
    <row r="1419" spans="1:6" x14ac:dyDescent="0.3">
      <c r="A1419">
        <v>1418</v>
      </c>
      <c r="B1419" t="s">
        <v>6</v>
      </c>
      <c r="C1419" t="s">
        <v>12</v>
      </c>
      <c r="D1419" t="s">
        <v>22</v>
      </c>
      <c r="E1419" t="s">
        <v>9</v>
      </c>
      <c r="F1419" t="s">
        <v>13</v>
      </c>
    </row>
    <row r="1420" spans="1:6" x14ac:dyDescent="0.3">
      <c r="A1420">
        <v>1419</v>
      </c>
      <c r="B1420" t="s">
        <v>16</v>
      </c>
      <c r="C1420" t="s">
        <v>7</v>
      </c>
      <c r="D1420" t="s">
        <v>1</v>
      </c>
      <c r="E1420" t="s">
        <v>15</v>
      </c>
      <c r="F1420" t="s">
        <v>20</v>
      </c>
    </row>
    <row r="1421" spans="1:6" x14ac:dyDescent="0.3">
      <c r="A1421">
        <v>1420</v>
      </c>
      <c r="B1421" t="s">
        <v>11</v>
      </c>
      <c r="C1421" t="s">
        <v>12</v>
      </c>
      <c r="D1421" t="s">
        <v>8</v>
      </c>
      <c r="E1421" t="s">
        <v>21</v>
      </c>
      <c r="F1421" t="s">
        <v>20</v>
      </c>
    </row>
    <row r="1422" spans="1:6" x14ac:dyDescent="0.3">
      <c r="A1422">
        <v>1421</v>
      </c>
      <c r="B1422" t="s">
        <v>25</v>
      </c>
      <c r="C1422" t="s">
        <v>7</v>
      </c>
      <c r="D1422" t="s">
        <v>22</v>
      </c>
      <c r="E1422" t="s">
        <v>9</v>
      </c>
      <c r="F1422" t="s">
        <v>10</v>
      </c>
    </row>
    <row r="1423" spans="1:6" x14ac:dyDescent="0.3">
      <c r="A1423">
        <v>1422</v>
      </c>
      <c r="B1423" t="s">
        <v>14</v>
      </c>
      <c r="C1423" t="s">
        <v>7</v>
      </c>
      <c r="D1423" t="s">
        <v>22</v>
      </c>
      <c r="E1423" t="s">
        <v>21</v>
      </c>
      <c r="F1423" t="s">
        <v>13</v>
      </c>
    </row>
    <row r="1424" spans="1:6" x14ac:dyDescent="0.3">
      <c r="A1424">
        <v>1423</v>
      </c>
      <c r="B1424" t="s">
        <v>16</v>
      </c>
      <c r="C1424" t="s">
        <v>24</v>
      </c>
      <c r="D1424" t="s">
        <v>8</v>
      </c>
      <c r="E1424" t="s">
        <v>26</v>
      </c>
      <c r="F1424" t="s">
        <v>23</v>
      </c>
    </row>
    <row r="1425" spans="1:6" x14ac:dyDescent="0.3">
      <c r="A1425">
        <v>1424</v>
      </c>
      <c r="B1425" t="s">
        <v>25</v>
      </c>
      <c r="C1425" t="s">
        <v>7</v>
      </c>
      <c r="D1425" t="s">
        <v>22</v>
      </c>
      <c r="E1425" t="s">
        <v>9</v>
      </c>
      <c r="F1425" t="s">
        <v>20</v>
      </c>
    </row>
    <row r="1426" spans="1:6" x14ac:dyDescent="0.3">
      <c r="A1426">
        <v>1425</v>
      </c>
      <c r="B1426" t="s">
        <v>18</v>
      </c>
      <c r="C1426" t="s">
        <v>7</v>
      </c>
      <c r="D1426" t="s">
        <v>8</v>
      </c>
      <c r="E1426" t="s">
        <v>21</v>
      </c>
      <c r="F1426" t="s">
        <v>13</v>
      </c>
    </row>
    <row r="1427" spans="1:6" x14ac:dyDescent="0.3">
      <c r="A1427">
        <v>1426</v>
      </c>
      <c r="B1427" t="s">
        <v>6</v>
      </c>
      <c r="C1427" t="s">
        <v>24</v>
      </c>
      <c r="D1427" t="s">
        <v>8</v>
      </c>
      <c r="E1427" t="s">
        <v>15</v>
      </c>
      <c r="F1427" t="s">
        <v>23</v>
      </c>
    </row>
    <row r="1428" spans="1:6" x14ac:dyDescent="0.3">
      <c r="A1428">
        <v>1427</v>
      </c>
      <c r="B1428" t="s">
        <v>6</v>
      </c>
      <c r="C1428" t="s">
        <v>7</v>
      </c>
      <c r="D1428" t="s">
        <v>8</v>
      </c>
      <c r="E1428" t="s">
        <v>21</v>
      </c>
      <c r="F1428" t="s">
        <v>13</v>
      </c>
    </row>
    <row r="1429" spans="1:6" x14ac:dyDescent="0.3">
      <c r="A1429">
        <v>1428</v>
      </c>
      <c r="B1429" t="s">
        <v>14</v>
      </c>
      <c r="C1429" t="s">
        <v>12</v>
      </c>
      <c r="D1429" t="s">
        <v>1</v>
      </c>
      <c r="E1429" t="s">
        <v>21</v>
      </c>
      <c r="F1429" t="s">
        <v>13</v>
      </c>
    </row>
    <row r="1430" spans="1:6" x14ac:dyDescent="0.3">
      <c r="A1430">
        <v>1429</v>
      </c>
      <c r="B1430" t="s">
        <v>14</v>
      </c>
      <c r="C1430" t="s">
        <v>12</v>
      </c>
      <c r="D1430" t="s">
        <v>22</v>
      </c>
      <c r="E1430" t="s">
        <v>15</v>
      </c>
      <c r="F1430" t="s">
        <v>13</v>
      </c>
    </row>
    <row r="1431" spans="1:6" x14ac:dyDescent="0.3">
      <c r="A1431">
        <v>1430</v>
      </c>
      <c r="B1431" t="s">
        <v>14</v>
      </c>
      <c r="C1431" t="s">
        <v>12</v>
      </c>
      <c r="D1431" t="s">
        <v>22</v>
      </c>
      <c r="E1431" t="s">
        <v>15</v>
      </c>
      <c r="F1431" t="s">
        <v>20</v>
      </c>
    </row>
    <row r="1432" spans="1:6" x14ac:dyDescent="0.3">
      <c r="A1432">
        <v>1431</v>
      </c>
      <c r="B1432" t="s">
        <v>14</v>
      </c>
      <c r="C1432" t="s">
        <v>24</v>
      </c>
      <c r="D1432" t="s">
        <v>22</v>
      </c>
      <c r="E1432" t="s">
        <v>15</v>
      </c>
      <c r="F1432" t="s">
        <v>20</v>
      </c>
    </row>
    <row r="1433" spans="1:6" x14ac:dyDescent="0.3">
      <c r="A1433">
        <v>1432</v>
      </c>
      <c r="B1433" t="s">
        <v>16</v>
      </c>
      <c r="C1433" t="s">
        <v>24</v>
      </c>
      <c r="D1433" t="s">
        <v>1</v>
      </c>
      <c r="E1433" t="s">
        <v>26</v>
      </c>
      <c r="F1433" t="s">
        <v>23</v>
      </c>
    </row>
    <row r="1434" spans="1:6" x14ac:dyDescent="0.3">
      <c r="A1434">
        <v>1433</v>
      </c>
      <c r="B1434" t="s">
        <v>25</v>
      </c>
      <c r="C1434" t="s">
        <v>7</v>
      </c>
      <c r="D1434" t="s">
        <v>22</v>
      </c>
      <c r="E1434" t="s">
        <v>9</v>
      </c>
      <c r="F1434" t="s">
        <v>10</v>
      </c>
    </row>
    <row r="1435" spans="1:6" x14ac:dyDescent="0.3">
      <c r="A1435">
        <v>1434</v>
      </c>
      <c r="B1435" t="s">
        <v>6</v>
      </c>
      <c r="C1435" t="s">
        <v>12</v>
      </c>
      <c r="D1435" t="s">
        <v>22</v>
      </c>
      <c r="E1435" t="s">
        <v>9</v>
      </c>
      <c r="F1435" t="s">
        <v>20</v>
      </c>
    </row>
    <row r="1436" spans="1:6" x14ac:dyDescent="0.3">
      <c r="A1436">
        <v>1435</v>
      </c>
      <c r="B1436" t="s">
        <v>14</v>
      </c>
      <c r="C1436" t="s">
        <v>7</v>
      </c>
      <c r="D1436" t="s">
        <v>1</v>
      </c>
      <c r="E1436" t="s">
        <v>9</v>
      </c>
      <c r="F1436" t="s">
        <v>23</v>
      </c>
    </row>
    <row r="1437" spans="1:6" x14ac:dyDescent="0.3">
      <c r="A1437">
        <v>1436</v>
      </c>
      <c r="B1437" t="s">
        <v>25</v>
      </c>
      <c r="C1437" t="s">
        <v>24</v>
      </c>
      <c r="D1437" t="s">
        <v>1</v>
      </c>
      <c r="E1437" t="s">
        <v>15</v>
      </c>
      <c r="F1437" t="s">
        <v>20</v>
      </c>
    </row>
    <row r="1438" spans="1:6" x14ac:dyDescent="0.3">
      <c r="A1438">
        <v>1437</v>
      </c>
      <c r="B1438" t="s">
        <v>14</v>
      </c>
      <c r="C1438" t="s">
        <v>24</v>
      </c>
      <c r="D1438" t="s">
        <v>22</v>
      </c>
      <c r="E1438" t="s">
        <v>15</v>
      </c>
      <c r="F1438" t="s">
        <v>23</v>
      </c>
    </row>
    <row r="1439" spans="1:6" x14ac:dyDescent="0.3">
      <c r="A1439">
        <v>1438</v>
      </c>
      <c r="B1439" t="s">
        <v>11</v>
      </c>
      <c r="C1439" t="s">
        <v>12</v>
      </c>
      <c r="D1439" t="s">
        <v>8</v>
      </c>
      <c r="E1439" t="s">
        <v>21</v>
      </c>
      <c r="F1439" t="s">
        <v>23</v>
      </c>
    </row>
    <row r="1440" spans="1:6" x14ac:dyDescent="0.3">
      <c r="A1440">
        <v>1439</v>
      </c>
      <c r="B1440" t="s">
        <v>16</v>
      </c>
      <c r="C1440" t="s">
        <v>7</v>
      </c>
      <c r="D1440" t="s">
        <v>8</v>
      </c>
      <c r="E1440" t="s">
        <v>21</v>
      </c>
      <c r="F1440" t="s">
        <v>10</v>
      </c>
    </row>
    <row r="1441" spans="1:6" x14ac:dyDescent="0.3">
      <c r="A1441">
        <v>1440</v>
      </c>
      <c r="B1441" t="s">
        <v>6</v>
      </c>
      <c r="C1441" t="s">
        <v>7</v>
      </c>
      <c r="D1441" t="s">
        <v>22</v>
      </c>
      <c r="E1441" t="s">
        <v>21</v>
      </c>
      <c r="F1441" t="s">
        <v>23</v>
      </c>
    </row>
    <row r="1442" spans="1:6" x14ac:dyDescent="0.3">
      <c r="A1442">
        <v>1441</v>
      </c>
      <c r="B1442" t="s">
        <v>6</v>
      </c>
      <c r="C1442" t="s">
        <v>12</v>
      </c>
      <c r="D1442" t="s">
        <v>1</v>
      </c>
      <c r="E1442" t="s">
        <v>21</v>
      </c>
      <c r="F1442" t="s">
        <v>23</v>
      </c>
    </row>
    <row r="1443" spans="1:6" x14ac:dyDescent="0.3">
      <c r="A1443">
        <v>1442</v>
      </c>
      <c r="B1443" t="s">
        <v>11</v>
      </c>
      <c r="C1443" t="s">
        <v>7</v>
      </c>
      <c r="D1443" t="s">
        <v>1</v>
      </c>
      <c r="E1443" t="s">
        <v>21</v>
      </c>
      <c r="F1443" t="s">
        <v>10</v>
      </c>
    </row>
    <row r="1444" spans="1:6" x14ac:dyDescent="0.3">
      <c r="A1444">
        <v>1443</v>
      </c>
      <c r="B1444" t="s">
        <v>14</v>
      </c>
      <c r="C1444" t="s">
        <v>24</v>
      </c>
      <c r="D1444" t="s">
        <v>22</v>
      </c>
      <c r="E1444" t="s">
        <v>26</v>
      </c>
      <c r="F1444" t="s">
        <v>23</v>
      </c>
    </row>
    <row r="1445" spans="1:6" x14ac:dyDescent="0.3">
      <c r="A1445">
        <v>1444</v>
      </c>
      <c r="B1445" t="s">
        <v>14</v>
      </c>
      <c r="C1445" t="s">
        <v>7</v>
      </c>
      <c r="D1445" t="s">
        <v>22</v>
      </c>
      <c r="E1445" t="s">
        <v>21</v>
      </c>
      <c r="F1445" t="s">
        <v>23</v>
      </c>
    </row>
    <row r="1446" spans="1:6" x14ac:dyDescent="0.3">
      <c r="A1446">
        <v>1445</v>
      </c>
      <c r="B1446" t="s">
        <v>11</v>
      </c>
      <c r="C1446" t="s">
        <v>24</v>
      </c>
      <c r="D1446" t="s">
        <v>8</v>
      </c>
      <c r="E1446" t="s">
        <v>26</v>
      </c>
      <c r="F1446" t="s">
        <v>13</v>
      </c>
    </row>
    <row r="1447" spans="1:6" x14ac:dyDescent="0.3">
      <c r="A1447">
        <v>1446</v>
      </c>
      <c r="B1447" t="s">
        <v>18</v>
      </c>
      <c r="C1447" t="s">
        <v>24</v>
      </c>
      <c r="D1447" t="s">
        <v>22</v>
      </c>
      <c r="E1447" t="s">
        <v>26</v>
      </c>
      <c r="F1447" t="s">
        <v>20</v>
      </c>
    </row>
    <row r="1448" spans="1:6" x14ac:dyDescent="0.3">
      <c r="A1448">
        <v>1447</v>
      </c>
      <c r="B1448" t="s">
        <v>14</v>
      </c>
      <c r="C1448" t="s">
        <v>7</v>
      </c>
      <c r="D1448" t="s">
        <v>1</v>
      </c>
      <c r="E1448" t="s">
        <v>15</v>
      </c>
      <c r="F1448" t="s">
        <v>23</v>
      </c>
    </row>
    <row r="1449" spans="1:6" x14ac:dyDescent="0.3">
      <c r="A1449">
        <v>1448</v>
      </c>
      <c r="B1449" t="s">
        <v>16</v>
      </c>
      <c r="C1449" t="s">
        <v>12</v>
      </c>
      <c r="D1449" t="s">
        <v>8</v>
      </c>
      <c r="E1449" t="s">
        <v>15</v>
      </c>
      <c r="F1449" t="s">
        <v>13</v>
      </c>
    </row>
    <row r="1450" spans="1:6" x14ac:dyDescent="0.3">
      <c r="A1450">
        <v>1449</v>
      </c>
      <c r="B1450" t="s">
        <v>25</v>
      </c>
      <c r="C1450" t="s">
        <v>7</v>
      </c>
      <c r="D1450" t="s">
        <v>22</v>
      </c>
      <c r="E1450" t="s">
        <v>21</v>
      </c>
      <c r="F1450" t="s">
        <v>23</v>
      </c>
    </row>
    <row r="1451" spans="1:6" x14ac:dyDescent="0.3">
      <c r="A1451">
        <v>1450</v>
      </c>
      <c r="B1451" t="s">
        <v>25</v>
      </c>
      <c r="C1451" t="s">
        <v>24</v>
      </c>
      <c r="D1451" t="s">
        <v>22</v>
      </c>
      <c r="E1451" t="s">
        <v>15</v>
      </c>
      <c r="F1451" t="s">
        <v>20</v>
      </c>
    </row>
    <row r="1452" spans="1:6" x14ac:dyDescent="0.3">
      <c r="A1452">
        <v>1451</v>
      </c>
      <c r="B1452" t="s">
        <v>11</v>
      </c>
      <c r="C1452" t="s">
        <v>12</v>
      </c>
      <c r="D1452" t="s">
        <v>8</v>
      </c>
      <c r="E1452" t="s">
        <v>9</v>
      </c>
      <c r="F1452" t="s">
        <v>10</v>
      </c>
    </row>
    <row r="1453" spans="1:6" x14ac:dyDescent="0.3">
      <c r="A1453">
        <v>1452</v>
      </c>
      <c r="B1453" t="s">
        <v>6</v>
      </c>
      <c r="C1453" t="s">
        <v>24</v>
      </c>
      <c r="D1453" t="s">
        <v>22</v>
      </c>
      <c r="E1453" t="s">
        <v>15</v>
      </c>
      <c r="F1453" t="s">
        <v>20</v>
      </c>
    </row>
    <row r="1454" spans="1:6" x14ac:dyDescent="0.3">
      <c r="A1454">
        <v>1453</v>
      </c>
      <c r="B1454" t="s">
        <v>6</v>
      </c>
      <c r="C1454" t="s">
        <v>12</v>
      </c>
      <c r="D1454" t="s">
        <v>8</v>
      </c>
      <c r="E1454" t="s">
        <v>9</v>
      </c>
      <c r="F1454" t="s">
        <v>10</v>
      </c>
    </row>
    <row r="1455" spans="1:6" x14ac:dyDescent="0.3">
      <c r="A1455">
        <v>1454</v>
      </c>
      <c r="B1455" t="s">
        <v>16</v>
      </c>
      <c r="C1455" t="s">
        <v>12</v>
      </c>
      <c r="D1455" t="s">
        <v>8</v>
      </c>
      <c r="E1455" t="s">
        <v>15</v>
      </c>
      <c r="F1455" t="s">
        <v>23</v>
      </c>
    </row>
    <row r="1456" spans="1:6" x14ac:dyDescent="0.3">
      <c r="A1456">
        <v>1455</v>
      </c>
      <c r="B1456" t="s">
        <v>25</v>
      </c>
      <c r="C1456" t="s">
        <v>12</v>
      </c>
      <c r="D1456" t="s">
        <v>8</v>
      </c>
      <c r="E1456" t="s">
        <v>21</v>
      </c>
      <c r="F1456" t="s">
        <v>13</v>
      </c>
    </row>
    <row r="1457" spans="1:6" x14ac:dyDescent="0.3">
      <c r="A1457">
        <v>1456</v>
      </c>
      <c r="B1457" t="s">
        <v>11</v>
      </c>
      <c r="C1457" t="s">
        <v>24</v>
      </c>
      <c r="D1457" t="s">
        <v>8</v>
      </c>
      <c r="E1457" t="s">
        <v>26</v>
      </c>
      <c r="F1457" t="s">
        <v>13</v>
      </c>
    </row>
    <row r="1458" spans="1:6" x14ac:dyDescent="0.3">
      <c r="A1458">
        <v>1457</v>
      </c>
      <c r="B1458" t="s">
        <v>16</v>
      </c>
      <c r="C1458" t="s">
        <v>7</v>
      </c>
      <c r="D1458" t="s">
        <v>1</v>
      </c>
      <c r="E1458" t="s">
        <v>9</v>
      </c>
      <c r="F1458" t="s">
        <v>20</v>
      </c>
    </row>
    <row r="1459" spans="1:6" x14ac:dyDescent="0.3">
      <c r="A1459">
        <v>1458</v>
      </c>
      <c r="B1459" t="s">
        <v>16</v>
      </c>
      <c r="C1459" t="s">
        <v>12</v>
      </c>
      <c r="D1459" t="s">
        <v>1</v>
      </c>
      <c r="E1459" t="s">
        <v>9</v>
      </c>
      <c r="F1459" t="s">
        <v>20</v>
      </c>
    </row>
    <row r="1460" spans="1:6" x14ac:dyDescent="0.3">
      <c r="A1460">
        <v>1459</v>
      </c>
      <c r="B1460" t="s">
        <v>16</v>
      </c>
      <c r="C1460" t="s">
        <v>7</v>
      </c>
      <c r="D1460" t="s">
        <v>22</v>
      </c>
      <c r="E1460" t="s">
        <v>21</v>
      </c>
      <c r="F1460" t="s">
        <v>13</v>
      </c>
    </row>
    <row r="1461" spans="1:6" x14ac:dyDescent="0.3">
      <c r="A1461">
        <v>1460</v>
      </c>
      <c r="B1461" t="s">
        <v>14</v>
      </c>
      <c r="C1461" t="s">
        <v>7</v>
      </c>
      <c r="D1461" t="s">
        <v>1</v>
      </c>
      <c r="E1461" t="s">
        <v>15</v>
      </c>
      <c r="F1461" t="s">
        <v>13</v>
      </c>
    </row>
    <row r="1462" spans="1:6" x14ac:dyDescent="0.3">
      <c r="A1462">
        <v>1461</v>
      </c>
      <c r="B1462" t="s">
        <v>11</v>
      </c>
      <c r="C1462" t="s">
        <v>7</v>
      </c>
      <c r="D1462" t="s">
        <v>8</v>
      </c>
      <c r="E1462" t="s">
        <v>21</v>
      </c>
      <c r="F1462" t="s">
        <v>10</v>
      </c>
    </row>
    <row r="1463" spans="1:6" x14ac:dyDescent="0.3">
      <c r="A1463">
        <v>1462</v>
      </c>
      <c r="B1463" t="s">
        <v>16</v>
      </c>
      <c r="C1463" t="s">
        <v>7</v>
      </c>
      <c r="D1463" t="s">
        <v>22</v>
      </c>
      <c r="E1463" t="s">
        <v>9</v>
      </c>
      <c r="F1463" t="s">
        <v>10</v>
      </c>
    </row>
    <row r="1464" spans="1:6" x14ac:dyDescent="0.3">
      <c r="A1464">
        <v>1463</v>
      </c>
      <c r="B1464" t="s">
        <v>14</v>
      </c>
      <c r="C1464" t="s">
        <v>7</v>
      </c>
      <c r="D1464" t="s">
        <v>1</v>
      </c>
      <c r="E1464" t="s">
        <v>21</v>
      </c>
      <c r="F1464" t="s">
        <v>10</v>
      </c>
    </row>
    <row r="1465" spans="1:6" x14ac:dyDescent="0.3">
      <c r="A1465">
        <v>1464</v>
      </c>
      <c r="B1465" t="s">
        <v>25</v>
      </c>
      <c r="C1465" t="s">
        <v>7</v>
      </c>
      <c r="D1465" t="s">
        <v>1</v>
      </c>
      <c r="E1465" t="s">
        <v>9</v>
      </c>
      <c r="F1465" t="s">
        <v>20</v>
      </c>
    </row>
    <row r="1466" spans="1:6" x14ac:dyDescent="0.3">
      <c r="A1466">
        <v>1465</v>
      </c>
      <c r="B1466" t="s">
        <v>14</v>
      </c>
      <c r="C1466" t="s">
        <v>7</v>
      </c>
      <c r="D1466" t="s">
        <v>1</v>
      </c>
      <c r="E1466" t="s">
        <v>9</v>
      </c>
      <c r="F1466" t="s">
        <v>23</v>
      </c>
    </row>
    <row r="1467" spans="1:6" x14ac:dyDescent="0.3">
      <c r="A1467">
        <v>1466</v>
      </c>
      <c r="B1467" t="s">
        <v>16</v>
      </c>
      <c r="C1467" t="s">
        <v>7</v>
      </c>
      <c r="D1467" t="s">
        <v>22</v>
      </c>
      <c r="E1467" t="s">
        <v>15</v>
      </c>
      <c r="F1467" t="s">
        <v>13</v>
      </c>
    </row>
    <row r="1468" spans="1:6" x14ac:dyDescent="0.3">
      <c r="A1468">
        <v>1467</v>
      </c>
      <c r="B1468" t="s">
        <v>16</v>
      </c>
      <c r="C1468" t="s">
        <v>7</v>
      </c>
      <c r="D1468" t="s">
        <v>22</v>
      </c>
      <c r="E1468" t="s">
        <v>9</v>
      </c>
      <c r="F1468" t="s">
        <v>23</v>
      </c>
    </row>
    <row r="1469" spans="1:6" x14ac:dyDescent="0.3">
      <c r="A1469">
        <v>1468</v>
      </c>
      <c r="B1469" t="s">
        <v>11</v>
      </c>
      <c r="C1469" t="s">
        <v>7</v>
      </c>
      <c r="D1469" t="s">
        <v>1</v>
      </c>
      <c r="E1469" t="s">
        <v>21</v>
      </c>
      <c r="F1469" t="s">
        <v>23</v>
      </c>
    </row>
    <row r="1470" spans="1:6" x14ac:dyDescent="0.3">
      <c r="A1470">
        <v>1469</v>
      </c>
      <c r="B1470" t="s">
        <v>11</v>
      </c>
      <c r="C1470" t="s">
        <v>12</v>
      </c>
      <c r="D1470" t="s">
        <v>1</v>
      </c>
      <c r="E1470" t="s">
        <v>19</v>
      </c>
      <c r="F1470" t="s">
        <v>10</v>
      </c>
    </row>
    <row r="1471" spans="1:6" x14ac:dyDescent="0.3">
      <c r="A1471">
        <v>1470</v>
      </c>
      <c r="B1471" t="s">
        <v>25</v>
      </c>
      <c r="C1471" t="s">
        <v>12</v>
      </c>
      <c r="D1471" t="s">
        <v>8</v>
      </c>
      <c r="E1471" t="s">
        <v>9</v>
      </c>
      <c r="F1471" t="s">
        <v>13</v>
      </c>
    </row>
    <row r="1472" spans="1:6" x14ac:dyDescent="0.3">
      <c r="A1472">
        <v>1471</v>
      </c>
      <c r="B1472" t="s">
        <v>11</v>
      </c>
      <c r="C1472" t="s">
        <v>24</v>
      </c>
      <c r="D1472" t="s">
        <v>22</v>
      </c>
      <c r="E1472" t="s">
        <v>15</v>
      </c>
      <c r="F1472" t="s">
        <v>13</v>
      </c>
    </row>
    <row r="1473" spans="1:6" x14ac:dyDescent="0.3">
      <c r="A1473">
        <v>1472</v>
      </c>
      <c r="B1473" t="s">
        <v>6</v>
      </c>
      <c r="C1473" t="s">
        <v>7</v>
      </c>
      <c r="D1473" t="s">
        <v>22</v>
      </c>
      <c r="E1473" t="s">
        <v>21</v>
      </c>
      <c r="F1473" t="s">
        <v>20</v>
      </c>
    </row>
    <row r="1474" spans="1:6" x14ac:dyDescent="0.3">
      <c r="A1474">
        <v>1473</v>
      </c>
      <c r="B1474" t="s">
        <v>6</v>
      </c>
      <c r="C1474" t="s">
        <v>7</v>
      </c>
      <c r="D1474" t="s">
        <v>22</v>
      </c>
      <c r="E1474" t="s">
        <v>15</v>
      </c>
      <c r="F1474" t="s">
        <v>23</v>
      </c>
    </row>
    <row r="1475" spans="1:6" x14ac:dyDescent="0.3">
      <c r="A1475">
        <v>1474</v>
      </c>
      <c r="B1475" t="s">
        <v>11</v>
      </c>
      <c r="C1475" t="s">
        <v>7</v>
      </c>
      <c r="D1475" t="s">
        <v>22</v>
      </c>
      <c r="E1475" t="s">
        <v>9</v>
      </c>
      <c r="F1475" t="s">
        <v>23</v>
      </c>
    </row>
    <row r="1476" spans="1:6" x14ac:dyDescent="0.3">
      <c r="A1476">
        <v>1475</v>
      </c>
      <c r="B1476" t="s">
        <v>14</v>
      </c>
      <c r="C1476" t="s">
        <v>12</v>
      </c>
      <c r="D1476" t="s">
        <v>22</v>
      </c>
      <c r="E1476" t="s">
        <v>9</v>
      </c>
      <c r="F1476" t="s">
        <v>13</v>
      </c>
    </row>
    <row r="1477" spans="1:6" x14ac:dyDescent="0.3">
      <c r="A1477">
        <v>1476</v>
      </c>
      <c r="B1477" t="s">
        <v>18</v>
      </c>
      <c r="C1477" t="s">
        <v>7</v>
      </c>
      <c r="D1477" t="s">
        <v>1</v>
      </c>
      <c r="E1477" t="s">
        <v>19</v>
      </c>
      <c r="F1477" t="s">
        <v>23</v>
      </c>
    </row>
    <row r="1478" spans="1:6" x14ac:dyDescent="0.3">
      <c r="A1478">
        <v>1477</v>
      </c>
      <c r="B1478" t="s">
        <v>18</v>
      </c>
      <c r="C1478" t="s">
        <v>12</v>
      </c>
      <c r="D1478" t="s">
        <v>8</v>
      </c>
      <c r="E1478" t="s">
        <v>21</v>
      </c>
      <c r="F1478" t="s">
        <v>20</v>
      </c>
    </row>
    <row r="1479" spans="1:6" x14ac:dyDescent="0.3">
      <c r="A1479">
        <v>1478</v>
      </c>
      <c r="B1479" t="s">
        <v>14</v>
      </c>
      <c r="C1479" t="s">
        <v>24</v>
      </c>
      <c r="D1479" t="s">
        <v>1</v>
      </c>
      <c r="E1479" t="s">
        <v>15</v>
      </c>
      <c r="F1479" t="s">
        <v>13</v>
      </c>
    </row>
    <row r="1480" spans="1:6" x14ac:dyDescent="0.3">
      <c r="A1480">
        <v>1479</v>
      </c>
      <c r="B1480" t="s">
        <v>16</v>
      </c>
      <c r="C1480" t="s">
        <v>7</v>
      </c>
      <c r="D1480" t="s">
        <v>1</v>
      </c>
      <c r="E1480" t="s">
        <v>21</v>
      </c>
      <c r="F1480" t="s">
        <v>23</v>
      </c>
    </row>
    <row r="1481" spans="1:6" x14ac:dyDescent="0.3">
      <c r="A1481">
        <v>1480</v>
      </c>
      <c r="B1481" t="s">
        <v>25</v>
      </c>
      <c r="C1481" t="s">
        <v>7</v>
      </c>
      <c r="D1481" t="s">
        <v>22</v>
      </c>
      <c r="E1481" t="s">
        <v>9</v>
      </c>
      <c r="F1481" t="s">
        <v>23</v>
      </c>
    </row>
    <row r="1482" spans="1:6" x14ac:dyDescent="0.3">
      <c r="A1482">
        <v>1481</v>
      </c>
      <c r="B1482" t="s">
        <v>11</v>
      </c>
      <c r="C1482" t="s">
        <v>7</v>
      </c>
      <c r="D1482" t="s">
        <v>22</v>
      </c>
      <c r="E1482" t="s">
        <v>9</v>
      </c>
      <c r="F1482" t="s">
        <v>10</v>
      </c>
    </row>
    <row r="1483" spans="1:6" x14ac:dyDescent="0.3">
      <c r="A1483">
        <v>1482</v>
      </c>
      <c r="B1483" t="s">
        <v>25</v>
      </c>
      <c r="C1483" t="s">
        <v>12</v>
      </c>
      <c r="D1483" t="s">
        <v>8</v>
      </c>
      <c r="E1483" t="s">
        <v>15</v>
      </c>
      <c r="F1483" t="s">
        <v>20</v>
      </c>
    </row>
    <row r="1484" spans="1:6" x14ac:dyDescent="0.3">
      <c r="A1484">
        <v>1483</v>
      </c>
      <c r="B1484" t="s">
        <v>25</v>
      </c>
      <c r="C1484" t="s">
        <v>12</v>
      </c>
      <c r="D1484" t="s">
        <v>22</v>
      </c>
      <c r="E1484" t="s">
        <v>19</v>
      </c>
      <c r="F1484" t="s">
        <v>10</v>
      </c>
    </row>
    <row r="1485" spans="1:6" x14ac:dyDescent="0.3">
      <c r="A1485">
        <v>1484</v>
      </c>
      <c r="B1485" t="s">
        <v>16</v>
      </c>
      <c r="C1485" t="s">
        <v>7</v>
      </c>
      <c r="D1485" t="s">
        <v>1</v>
      </c>
      <c r="E1485" t="s">
        <v>9</v>
      </c>
      <c r="F1485" t="s">
        <v>13</v>
      </c>
    </row>
    <row r="1486" spans="1:6" x14ac:dyDescent="0.3">
      <c r="A1486">
        <v>1485</v>
      </c>
      <c r="B1486" t="s">
        <v>6</v>
      </c>
      <c r="C1486" t="s">
        <v>7</v>
      </c>
      <c r="D1486" t="s">
        <v>1</v>
      </c>
      <c r="E1486" t="s">
        <v>21</v>
      </c>
      <c r="F1486" t="s">
        <v>10</v>
      </c>
    </row>
    <row r="1487" spans="1:6" x14ac:dyDescent="0.3">
      <c r="A1487">
        <v>1486</v>
      </c>
      <c r="B1487" t="s">
        <v>16</v>
      </c>
      <c r="C1487" t="s">
        <v>12</v>
      </c>
      <c r="D1487" t="s">
        <v>1</v>
      </c>
      <c r="E1487" t="s">
        <v>9</v>
      </c>
      <c r="F1487" t="s">
        <v>23</v>
      </c>
    </row>
    <row r="1488" spans="1:6" x14ac:dyDescent="0.3">
      <c r="A1488">
        <v>1487</v>
      </c>
      <c r="B1488" t="s">
        <v>25</v>
      </c>
      <c r="C1488" t="s">
        <v>7</v>
      </c>
      <c r="D1488" t="s">
        <v>8</v>
      </c>
      <c r="E1488" t="s">
        <v>15</v>
      </c>
      <c r="F1488" t="s">
        <v>23</v>
      </c>
    </row>
    <row r="1489" spans="1:6" x14ac:dyDescent="0.3">
      <c r="A1489">
        <v>1488</v>
      </c>
      <c r="B1489" t="s">
        <v>6</v>
      </c>
      <c r="C1489" t="s">
        <v>12</v>
      </c>
      <c r="D1489" t="s">
        <v>22</v>
      </c>
      <c r="E1489" t="s">
        <v>9</v>
      </c>
      <c r="F1489" t="s">
        <v>23</v>
      </c>
    </row>
    <row r="1490" spans="1:6" x14ac:dyDescent="0.3">
      <c r="A1490">
        <v>1489</v>
      </c>
      <c r="B1490" t="s">
        <v>18</v>
      </c>
      <c r="C1490" t="s">
        <v>7</v>
      </c>
      <c r="D1490" t="s">
        <v>8</v>
      </c>
      <c r="E1490" t="s">
        <v>21</v>
      </c>
      <c r="F1490" t="s">
        <v>20</v>
      </c>
    </row>
    <row r="1491" spans="1:6" x14ac:dyDescent="0.3">
      <c r="A1491">
        <v>1490</v>
      </c>
      <c r="B1491" t="s">
        <v>14</v>
      </c>
      <c r="C1491" t="s">
        <v>7</v>
      </c>
      <c r="D1491" t="s">
        <v>8</v>
      </c>
      <c r="E1491" t="s">
        <v>9</v>
      </c>
      <c r="F1491" t="s">
        <v>23</v>
      </c>
    </row>
    <row r="1492" spans="1:6" x14ac:dyDescent="0.3">
      <c r="A1492">
        <v>1491</v>
      </c>
      <c r="B1492" t="s">
        <v>16</v>
      </c>
      <c r="C1492" t="s">
        <v>7</v>
      </c>
      <c r="D1492" t="s">
        <v>1</v>
      </c>
      <c r="E1492" t="s">
        <v>21</v>
      </c>
      <c r="F1492" t="s">
        <v>23</v>
      </c>
    </row>
    <row r="1493" spans="1:6" x14ac:dyDescent="0.3">
      <c r="A1493">
        <v>1492</v>
      </c>
      <c r="B1493" t="s">
        <v>16</v>
      </c>
      <c r="C1493" t="s">
        <v>12</v>
      </c>
      <c r="D1493" t="s">
        <v>22</v>
      </c>
      <c r="E1493" t="s">
        <v>15</v>
      </c>
      <c r="F1493" t="s">
        <v>20</v>
      </c>
    </row>
    <row r="1494" spans="1:6" x14ac:dyDescent="0.3">
      <c r="A1494">
        <v>1493</v>
      </c>
      <c r="B1494" t="s">
        <v>6</v>
      </c>
      <c r="C1494" t="s">
        <v>24</v>
      </c>
      <c r="D1494" t="s">
        <v>8</v>
      </c>
      <c r="E1494" t="s">
        <v>26</v>
      </c>
      <c r="F1494" t="s">
        <v>20</v>
      </c>
    </row>
    <row r="1495" spans="1:6" x14ac:dyDescent="0.3">
      <c r="A1495">
        <v>1494</v>
      </c>
      <c r="B1495" t="s">
        <v>18</v>
      </c>
      <c r="C1495" t="s">
        <v>12</v>
      </c>
      <c r="D1495" t="s">
        <v>8</v>
      </c>
      <c r="E1495" t="s">
        <v>21</v>
      </c>
      <c r="F1495" t="s">
        <v>20</v>
      </c>
    </row>
    <row r="1496" spans="1:6" x14ac:dyDescent="0.3">
      <c r="A1496">
        <v>1495</v>
      </c>
      <c r="B1496" t="s">
        <v>11</v>
      </c>
      <c r="C1496" t="s">
        <v>12</v>
      </c>
      <c r="D1496" t="s">
        <v>22</v>
      </c>
      <c r="E1496" t="s">
        <v>9</v>
      </c>
      <c r="F1496" t="s">
        <v>23</v>
      </c>
    </row>
    <row r="1497" spans="1:6" x14ac:dyDescent="0.3">
      <c r="A1497">
        <v>1496</v>
      </c>
      <c r="B1497" t="s">
        <v>18</v>
      </c>
      <c r="C1497" t="s">
        <v>7</v>
      </c>
      <c r="D1497" t="s">
        <v>8</v>
      </c>
      <c r="E1497" t="s">
        <v>9</v>
      </c>
      <c r="F1497" t="s">
        <v>20</v>
      </c>
    </row>
    <row r="1498" spans="1:6" x14ac:dyDescent="0.3">
      <c r="A1498">
        <v>1497</v>
      </c>
      <c r="B1498" t="s">
        <v>14</v>
      </c>
      <c r="C1498" t="s">
        <v>7</v>
      </c>
      <c r="D1498" t="s">
        <v>1</v>
      </c>
      <c r="E1498" t="s">
        <v>9</v>
      </c>
      <c r="F1498" t="s">
        <v>20</v>
      </c>
    </row>
    <row r="1499" spans="1:6" x14ac:dyDescent="0.3">
      <c r="A1499">
        <v>1498</v>
      </c>
      <c r="B1499" t="s">
        <v>25</v>
      </c>
      <c r="C1499" t="s">
        <v>7</v>
      </c>
      <c r="D1499" t="s">
        <v>1</v>
      </c>
      <c r="E1499" t="s">
        <v>9</v>
      </c>
      <c r="F1499" t="s">
        <v>10</v>
      </c>
    </row>
    <row r="1500" spans="1:6" x14ac:dyDescent="0.3">
      <c r="A1500">
        <v>1499</v>
      </c>
      <c r="B1500" t="s">
        <v>16</v>
      </c>
      <c r="C1500" t="s">
        <v>24</v>
      </c>
      <c r="D1500" t="s">
        <v>22</v>
      </c>
      <c r="E1500" t="s">
        <v>15</v>
      </c>
      <c r="F1500" t="s">
        <v>23</v>
      </c>
    </row>
    <row r="1501" spans="1:6" x14ac:dyDescent="0.3">
      <c r="A1501">
        <v>1500</v>
      </c>
      <c r="B1501" t="s">
        <v>16</v>
      </c>
      <c r="C1501" t="s">
        <v>7</v>
      </c>
      <c r="D1501" t="s">
        <v>8</v>
      </c>
      <c r="E1501" t="s">
        <v>9</v>
      </c>
      <c r="F1501" t="s">
        <v>10</v>
      </c>
    </row>
    <row r="1502" spans="1:6" x14ac:dyDescent="0.3">
      <c r="A1502">
        <v>1501</v>
      </c>
      <c r="B1502" t="s">
        <v>25</v>
      </c>
      <c r="C1502" t="s">
        <v>24</v>
      </c>
      <c r="D1502" t="s">
        <v>1</v>
      </c>
      <c r="E1502" t="s">
        <v>26</v>
      </c>
      <c r="F1502" t="s">
        <v>20</v>
      </c>
    </row>
    <row r="1503" spans="1:6" x14ac:dyDescent="0.3">
      <c r="A1503">
        <v>1502</v>
      </c>
      <c r="B1503" t="s">
        <v>6</v>
      </c>
      <c r="C1503" t="s">
        <v>12</v>
      </c>
      <c r="D1503" t="s">
        <v>1</v>
      </c>
      <c r="E1503" t="s">
        <v>9</v>
      </c>
      <c r="F1503" t="s">
        <v>10</v>
      </c>
    </row>
    <row r="1504" spans="1:6" x14ac:dyDescent="0.3">
      <c r="A1504">
        <v>1503</v>
      </c>
      <c r="B1504" t="s">
        <v>18</v>
      </c>
      <c r="C1504" t="s">
        <v>7</v>
      </c>
      <c r="D1504" t="s">
        <v>8</v>
      </c>
      <c r="E1504" t="s">
        <v>19</v>
      </c>
      <c r="F1504" t="s">
        <v>13</v>
      </c>
    </row>
    <row r="1505" spans="1:6" x14ac:dyDescent="0.3">
      <c r="A1505">
        <v>1504</v>
      </c>
      <c r="B1505" t="s">
        <v>6</v>
      </c>
      <c r="C1505" t="s">
        <v>24</v>
      </c>
      <c r="D1505" t="s">
        <v>22</v>
      </c>
      <c r="E1505" t="s">
        <v>26</v>
      </c>
      <c r="F1505" t="s">
        <v>10</v>
      </c>
    </row>
    <row r="1506" spans="1:6" x14ac:dyDescent="0.3">
      <c r="A1506">
        <v>1505</v>
      </c>
      <c r="B1506" t="s">
        <v>11</v>
      </c>
      <c r="C1506" t="s">
        <v>24</v>
      </c>
      <c r="D1506" t="s">
        <v>8</v>
      </c>
      <c r="E1506" t="s">
        <v>26</v>
      </c>
      <c r="F1506" t="s">
        <v>20</v>
      </c>
    </row>
    <row r="1507" spans="1:6" x14ac:dyDescent="0.3">
      <c r="A1507">
        <v>1506</v>
      </c>
      <c r="B1507" t="s">
        <v>11</v>
      </c>
      <c r="C1507" t="s">
        <v>12</v>
      </c>
      <c r="D1507" t="s">
        <v>22</v>
      </c>
      <c r="E1507" t="s">
        <v>9</v>
      </c>
      <c r="F1507" t="s">
        <v>13</v>
      </c>
    </row>
    <row r="1508" spans="1:6" x14ac:dyDescent="0.3">
      <c r="A1508">
        <v>1507</v>
      </c>
      <c r="B1508" t="s">
        <v>25</v>
      </c>
      <c r="C1508" t="s">
        <v>7</v>
      </c>
      <c r="D1508" t="s">
        <v>22</v>
      </c>
      <c r="E1508" t="s">
        <v>15</v>
      </c>
      <c r="F1508" t="s">
        <v>23</v>
      </c>
    </row>
    <row r="1509" spans="1:6" x14ac:dyDescent="0.3">
      <c r="A1509">
        <v>1508</v>
      </c>
      <c r="B1509" t="s">
        <v>11</v>
      </c>
      <c r="C1509" t="s">
        <v>12</v>
      </c>
      <c r="D1509" t="s">
        <v>22</v>
      </c>
      <c r="E1509" t="s">
        <v>9</v>
      </c>
      <c r="F1509" t="s">
        <v>20</v>
      </c>
    </row>
    <row r="1510" spans="1:6" x14ac:dyDescent="0.3">
      <c r="A1510">
        <v>1509</v>
      </c>
      <c r="B1510" t="s">
        <v>25</v>
      </c>
      <c r="C1510" t="s">
        <v>7</v>
      </c>
      <c r="D1510" t="s">
        <v>8</v>
      </c>
      <c r="E1510" t="s">
        <v>9</v>
      </c>
      <c r="F1510" t="s">
        <v>20</v>
      </c>
    </row>
    <row r="1511" spans="1:6" x14ac:dyDescent="0.3">
      <c r="A1511">
        <v>1510</v>
      </c>
      <c r="B1511" t="s">
        <v>16</v>
      </c>
      <c r="C1511" t="s">
        <v>12</v>
      </c>
      <c r="D1511" t="s">
        <v>8</v>
      </c>
      <c r="E1511" t="s">
        <v>9</v>
      </c>
      <c r="F1511" t="s">
        <v>23</v>
      </c>
    </row>
    <row r="1512" spans="1:6" x14ac:dyDescent="0.3">
      <c r="A1512">
        <v>1511</v>
      </c>
      <c r="B1512" t="s">
        <v>25</v>
      </c>
      <c r="C1512" t="s">
        <v>24</v>
      </c>
      <c r="D1512" t="s">
        <v>1</v>
      </c>
      <c r="E1512" t="s">
        <v>26</v>
      </c>
      <c r="F1512" t="s">
        <v>23</v>
      </c>
    </row>
    <row r="1513" spans="1:6" x14ac:dyDescent="0.3">
      <c r="A1513">
        <v>1512</v>
      </c>
      <c r="B1513" t="s">
        <v>6</v>
      </c>
      <c r="C1513" t="s">
        <v>7</v>
      </c>
      <c r="D1513" t="s">
        <v>1</v>
      </c>
      <c r="E1513" t="s">
        <v>9</v>
      </c>
      <c r="F1513" t="s">
        <v>23</v>
      </c>
    </row>
    <row r="1514" spans="1:6" x14ac:dyDescent="0.3">
      <c r="A1514">
        <v>1513</v>
      </c>
      <c r="B1514" t="s">
        <v>6</v>
      </c>
      <c r="C1514" t="s">
        <v>7</v>
      </c>
      <c r="D1514" t="s">
        <v>22</v>
      </c>
      <c r="E1514" t="s">
        <v>9</v>
      </c>
      <c r="F1514" t="s">
        <v>10</v>
      </c>
    </row>
    <row r="1515" spans="1:6" x14ac:dyDescent="0.3">
      <c r="A1515">
        <v>1514</v>
      </c>
      <c r="B1515" t="s">
        <v>18</v>
      </c>
      <c r="C1515" t="s">
        <v>12</v>
      </c>
      <c r="D1515" t="s">
        <v>1</v>
      </c>
      <c r="E1515" t="s">
        <v>21</v>
      </c>
      <c r="F1515" t="s">
        <v>10</v>
      </c>
    </row>
    <row r="1516" spans="1:6" x14ac:dyDescent="0.3">
      <c r="A1516">
        <v>1515</v>
      </c>
      <c r="B1516" t="s">
        <v>16</v>
      </c>
      <c r="C1516" t="s">
        <v>12</v>
      </c>
      <c r="D1516" t="s">
        <v>1</v>
      </c>
      <c r="E1516" t="s">
        <v>9</v>
      </c>
      <c r="F1516" t="s">
        <v>13</v>
      </c>
    </row>
    <row r="1517" spans="1:6" x14ac:dyDescent="0.3">
      <c r="A1517">
        <v>1516</v>
      </c>
      <c r="B1517" t="s">
        <v>11</v>
      </c>
      <c r="C1517" t="s">
        <v>12</v>
      </c>
      <c r="D1517" t="s">
        <v>8</v>
      </c>
      <c r="E1517" t="s">
        <v>15</v>
      </c>
      <c r="F1517" t="s">
        <v>20</v>
      </c>
    </row>
    <row r="1518" spans="1:6" x14ac:dyDescent="0.3">
      <c r="A1518">
        <v>1517</v>
      </c>
      <c r="B1518" t="s">
        <v>6</v>
      </c>
      <c r="C1518" t="s">
        <v>24</v>
      </c>
      <c r="D1518" t="s">
        <v>1</v>
      </c>
      <c r="E1518" t="s">
        <v>26</v>
      </c>
      <c r="F1518" t="s">
        <v>23</v>
      </c>
    </row>
    <row r="1519" spans="1:6" x14ac:dyDescent="0.3">
      <c r="A1519">
        <v>1518</v>
      </c>
      <c r="B1519" t="s">
        <v>16</v>
      </c>
      <c r="C1519" t="s">
        <v>24</v>
      </c>
      <c r="D1519" t="s">
        <v>1</v>
      </c>
      <c r="E1519" t="s">
        <v>26</v>
      </c>
      <c r="F1519" t="s">
        <v>20</v>
      </c>
    </row>
    <row r="1520" spans="1:6" x14ac:dyDescent="0.3">
      <c r="A1520">
        <v>1519</v>
      </c>
      <c r="B1520" t="s">
        <v>14</v>
      </c>
      <c r="C1520" t="s">
        <v>7</v>
      </c>
      <c r="D1520" t="s">
        <v>22</v>
      </c>
      <c r="E1520" t="s">
        <v>19</v>
      </c>
      <c r="F1520" t="s">
        <v>10</v>
      </c>
    </row>
    <row r="1521" spans="1:6" x14ac:dyDescent="0.3">
      <c r="A1521">
        <v>1520</v>
      </c>
      <c r="B1521" t="s">
        <v>18</v>
      </c>
      <c r="C1521" t="s">
        <v>7</v>
      </c>
      <c r="D1521" t="s">
        <v>22</v>
      </c>
      <c r="E1521" t="s">
        <v>19</v>
      </c>
      <c r="F1521" t="s">
        <v>23</v>
      </c>
    </row>
    <row r="1522" spans="1:6" x14ac:dyDescent="0.3">
      <c r="A1522">
        <v>1521</v>
      </c>
      <c r="B1522" t="s">
        <v>14</v>
      </c>
      <c r="C1522" t="s">
        <v>12</v>
      </c>
      <c r="D1522" t="s">
        <v>22</v>
      </c>
      <c r="E1522" t="s">
        <v>19</v>
      </c>
      <c r="F1522" t="s">
        <v>10</v>
      </c>
    </row>
    <row r="1523" spans="1:6" x14ac:dyDescent="0.3">
      <c r="A1523">
        <v>1522</v>
      </c>
      <c r="B1523" t="s">
        <v>16</v>
      </c>
      <c r="C1523" t="s">
        <v>12</v>
      </c>
      <c r="D1523" t="s">
        <v>8</v>
      </c>
      <c r="E1523" t="s">
        <v>9</v>
      </c>
      <c r="F1523" t="s">
        <v>13</v>
      </c>
    </row>
    <row r="1524" spans="1:6" x14ac:dyDescent="0.3">
      <c r="A1524">
        <v>1523</v>
      </c>
      <c r="B1524" t="s">
        <v>11</v>
      </c>
      <c r="C1524" t="s">
        <v>24</v>
      </c>
      <c r="D1524" t="s">
        <v>8</v>
      </c>
      <c r="E1524" t="s">
        <v>15</v>
      </c>
      <c r="F1524" t="s">
        <v>13</v>
      </c>
    </row>
    <row r="1525" spans="1:6" x14ac:dyDescent="0.3">
      <c r="A1525">
        <v>1524</v>
      </c>
      <c r="B1525" t="s">
        <v>6</v>
      </c>
      <c r="C1525" t="s">
        <v>7</v>
      </c>
      <c r="D1525" t="s">
        <v>22</v>
      </c>
      <c r="E1525" t="s">
        <v>9</v>
      </c>
      <c r="F1525" t="s">
        <v>10</v>
      </c>
    </row>
    <row r="1526" spans="1:6" x14ac:dyDescent="0.3">
      <c r="A1526">
        <v>1525</v>
      </c>
      <c r="B1526" t="s">
        <v>14</v>
      </c>
      <c r="C1526" t="s">
        <v>12</v>
      </c>
      <c r="D1526" t="s">
        <v>22</v>
      </c>
      <c r="E1526" t="s">
        <v>9</v>
      </c>
      <c r="F1526" t="s">
        <v>23</v>
      </c>
    </row>
    <row r="1527" spans="1:6" x14ac:dyDescent="0.3">
      <c r="A1527">
        <v>1526</v>
      </c>
      <c r="B1527" t="s">
        <v>16</v>
      </c>
      <c r="C1527" t="s">
        <v>12</v>
      </c>
      <c r="D1527" t="s">
        <v>1</v>
      </c>
      <c r="E1527" t="s">
        <v>9</v>
      </c>
      <c r="F1527" t="s">
        <v>10</v>
      </c>
    </row>
    <row r="1528" spans="1:6" x14ac:dyDescent="0.3">
      <c r="A1528">
        <v>1527</v>
      </c>
      <c r="B1528" t="s">
        <v>14</v>
      </c>
      <c r="C1528" t="s">
        <v>24</v>
      </c>
      <c r="D1528" t="s">
        <v>8</v>
      </c>
      <c r="E1528" t="s">
        <v>26</v>
      </c>
      <c r="F1528" t="s">
        <v>10</v>
      </c>
    </row>
    <row r="1529" spans="1:6" x14ac:dyDescent="0.3">
      <c r="A1529">
        <v>1528</v>
      </c>
      <c r="B1529" t="s">
        <v>6</v>
      </c>
      <c r="C1529" t="s">
        <v>12</v>
      </c>
      <c r="D1529" t="s">
        <v>1</v>
      </c>
      <c r="E1529" t="s">
        <v>15</v>
      </c>
      <c r="F1529" t="s">
        <v>23</v>
      </c>
    </row>
    <row r="1530" spans="1:6" x14ac:dyDescent="0.3">
      <c r="A1530">
        <v>1529</v>
      </c>
      <c r="B1530" t="s">
        <v>14</v>
      </c>
      <c r="C1530" t="s">
        <v>7</v>
      </c>
      <c r="D1530" t="s">
        <v>8</v>
      </c>
      <c r="E1530" t="s">
        <v>21</v>
      </c>
      <c r="F1530" t="s">
        <v>10</v>
      </c>
    </row>
    <row r="1531" spans="1:6" x14ac:dyDescent="0.3">
      <c r="A1531">
        <v>1530</v>
      </c>
      <c r="B1531" t="s">
        <v>14</v>
      </c>
      <c r="C1531" t="s">
        <v>7</v>
      </c>
      <c r="D1531" t="s">
        <v>1</v>
      </c>
      <c r="E1531" t="s">
        <v>9</v>
      </c>
      <c r="F1531" t="s">
        <v>20</v>
      </c>
    </row>
    <row r="1532" spans="1:6" x14ac:dyDescent="0.3">
      <c r="A1532">
        <v>1531</v>
      </c>
      <c r="B1532" t="s">
        <v>11</v>
      </c>
      <c r="C1532" t="s">
        <v>24</v>
      </c>
      <c r="D1532" t="s">
        <v>8</v>
      </c>
      <c r="E1532" t="s">
        <v>15</v>
      </c>
      <c r="F1532" t="s">
        <v>23</v>
      </c>
    </row>
    <row r="1533" spans="1:6" x14ac:dyDescent="0.3">
      <c r="A1533">
        <v>1532</v>
      </c>
      <c r="B1533" t="s">
        <v>6</v>
      </c>
      <c r="C1533" t="s">
        <v>7</v>
      </c>
      <c r="D1533" t="s">
        <v>1</v>
      </c>
      <c r="E1533" t="s">
        <v>9</v>
      </c>
      <c r="F1533" t="s">
        <v>13</v>
      </c>
    </row>
    <row r="1534" spans="1:6" x14ac:dyDescent="0.3">
      <c r="A1534">
        <v>1533</v>
      </c>
      <c r="B1534" t="s">
        <v>11</v>
      </c>
      <c r="C1534" t="s">
        <v>12</v>
      </c>
      <c r="D1534" t="s">
        <v>8</v>
      </c>
      <c r="E1534" t="s">
        <v>9</v>
      </c>
      <c r="F1534" t="s">
        <v>10</v>
      </c>
    </row>
    <row r="1535" spans="1:6" x14ac:dyDescent="0.3">
      <c r="A1535">
        <v>1534</v>
      </c>
      <c r="B1535" t="s">
        <v>16</v>
      </c>
      <c r="C1535" t="s">
        <v>24</v>
      </c>
      <c r="D1535" t="s">
        <v>1</v>
      </c>
      <c r="E1535" t="s">
        <v>15</v>
      </c>
      <c r="F1535" t="s">
        <v>23</v>
      </c>
    </row>
    <row r="1536" spans="1:6" x14ac:dyDescent="0.3">
      <c r="A1536">
        <v>1535</v>
      </c>
      <c r="B1536" t="s">
        <v>6</v>
      </c>
      <c r="C1536" t="s">
        <v>12</v>
      </c>
      <c r="D1536" t="s">
        <v>22</v>
      </c>
      <c r="E1536" t="s">
        <v>15</v>
      </c>
      <c r="F1536" t="s">
        <v>20</v>
      </c>
    </row>
    <row r="1537" spans="1:6" x14ac:dyDescent="0.3">
      <c r="A1537">
        <v>1536</v>
      </c>
      <c r="B1537" t="s">
        <v>25</v>
      </c>
      <c r="C1537" t="s">
        <v>7</v>
      </c>
      <c r="D1537" t="s">
        <v>22</v>
      </c>
      <c r="E1537" t="s">
        <v>21</v>
      </c>
      <c r="F1537" t="s">
        <v>20</v>
      </c>
    </row>
    <row r="1538" spans="1:6" x14ac:dyDescent="0.3">
      <c r="A1538">
        <v>1537</v>
      </c>
      <c r="B1538" t="s">
        <v>16</v>
      </c>
      <c r="C1538" t="s">
        <v>7</v>
      </c>
      <c r="D1538" t="s">
        <v>8</v>
      </c>
      <c r="E1538" t="s">
        <v>21</v>
      </c>
      <c r="F1538" t="s">
        <v>20</v>
      </c>
    </row>
    <row r="1539" spans="1:6" x14ac:dyDescent="0.3">
      <c r="A1539">
        <v>1538</v>
      </c>
      <c r="B1539" t="s">
        <v>18</v>
      </c>
      <c r="C1539" t="s">
        <v>7</v>
      </c>
      <c r="D1539" t="s">
        <v>1</v>
      </c>
      <c r="E1539" t="s">
        <v>21</v>
      </c>
      <c r="F1539" t="s">
        <v>20</v>
      </c>
    </row>
    <row r="1540" spans="1:6" x14ac:dyDescent="0.3">
      <c r="A1540">
        <v>1539</v>
      </c>
      <c r="B1540" t="s">
        <v>14</v>
      </c>
      <c r="C1540" t="s">
        <v>12</v>
      </c>
      <c r="D1540" t="s">
        <v>1</v>
      </c>
      <c r="E1540" t="s">
        <v>21</v>
      </c>
      <c r="F1540" t="s">
        <v>20</v>
      </c>
    </row>
    <row r="1541" spans="1:6" x14ac:dyDescent="0.3">
      <c r="A1541">
        <v>1540</v>
      </c>
      <c r="B1541" t="s">
        <v>14</v>
      </c>
      <c r="C1541" t="s">
        <v>12</v>
      </c>
      <c r="D1541" t="s">
        <v>8</v>
      </c>
      <c r="E1541" t="s">
        <v>15</v>
      </c>
      <c r="F1541" t="s">
        <v>20</v>
      </c>
    </row>
    <row r="1542" spans="1:6" x14ac:dyDescent="0.3">
      <c r="A1542">
        <v>1541</v>
      </c>
      <c r="B1542" t="s">
        <v>16</v>
      </c>
      <c r="C1542" t="s">
        <v>7</v>
      </c>
      <c r="D1542" t="s">
        <v>22</v>
      </c>
      <c r="E1542" t="s">
        <v>9</v>
      </c>
      <c r="F1542" t="s">
        <v>20</v>
      </c>
    </row>
    <row r="1543" spans="1:6" x14ac:dyDescent="0.3">
      <c r="A1543">
        <v>1542</v>
      </c>
      <c r="B1543" t="s">
        <v>18</v>
      </c>
      <c r="C1543" t="s">
        <v>12</v>
      </c>
      <c r="D1543" t="s">
        <v>1</v>
      </c>
      <c r="E1543" t="s">
        <v>21</v>
      </c>
      <c r="F1543" t="s">
        <v>13</v>
      </c>
    </row>
    <row r="1544" spans="1:6" x14ac:dyDescent="0.3">
      <c r="A1544">
        <v>1543</v>
      </c>
      <c r="B1544" t="s">
        <v>25</v>
      </c>
      <c r="C1544" t="s">
        <v>7</v>
      </c>
      <c r="D1544" t="s">
        <v>22</v>
      </c>
      <c r="E1544" t="s">
        <v>21</v>
      </c>
      <c r="F1544" t="s">
        <v>23</v>
      </c>
    </row>
    <row r="1545" spans="1:6" x14ac:dyDescent="0.3">
      <c r="A1545">
        <v>1544</v>
      </c>
      <c r="B1545" t="s">
        <v>25</v>
      </c>
      <c r="C1545" t="s">
        <v>12</v>
      </c>
      <c r="D1545" t="s">
        <v>22</v>
      </c>
      <c r="E1545" t="s">
        <v>9</v>
      </c>
      <c r="F1545" t="s">
        <v>10</v>
      </c>
    </row>
    <row r="1546" spans="1:6" x14ac:dyDescent="0.3">
      <c r="A1546">
        <v>1545</v>
      </c>
      <c r="B1546" t="s">
        <v>11</v>
      </c>
      <c r="C1546" t="s">
        <v>12</v>
      </c>
      <c r="D1546" t="s">
        <v>8</v>
      </c>
      <c r="E1546" t="s">
        <v>15</v>
      </c>
      <c r="F1546" t="s">
        <v>20</v>
      </c>
    </row>
    <row r="1547" spans="1:6" x14ac:dyDescent="0.3">
      <c r="A1547">
        <v>1546</v>
      </c>
      <c r="B1547" t="s">
        <v>18</v>
      </c>
      <c r="C1547" t="s">
        <v>12</v>
      </c>
      <c r="D1547" t="s">
        <v>8</v>
      </c>
      <c r="E1547" t="s">
        <v>21</v>
      </c>
      <c r="F1547" t="s">
        <v>23</v>
      </c>
    </row>
    <row r="1548" spans="1:6" x14ac:dyDescent="0.3">
      <c r="A1548">
        <v>1547</v>
      </c>
      <c r="B1548" t="s">
        <v>11</v>
      </c>
      <c r="C1548" t="s">
        <v>7</v>
      </c>
      <c r="D1548" t="s">
        <v>22</v>
      </c>
      <c r="E1548" t="s">
        <v>9</v>
      </c>
      <c r="F1548" t="s">
        <v>20</v>
      </c>
    </row>
    <row r="1549" spans="1:6" x14ac:dyDescent="0.3">
      <c r="A1549">
        <v>1548</v>
      </c>
      <c r="B1549" t="s">
        <v>11</v>
      </c>
      <c r="C1549" t="s">
        <v>7</v>
      </c>
      <c r="D1549" t="s">
        <v>1</v>
      </c>
      <c r="E1549" t="s">
        <v>15</v>
      </c>
      <c r="F1549" t="s">
        <v>23</v>
      </c>
    </row>
    <row r="1550" spans="1:6" x14ac:dyDescent="0.3">
      <c r="A1550">
        <v>1549</v>
      </c>
      <c r="B1550" t="s">
        <v>14</v>
      </c>
      <c r="C1550" t="s">
        <v>24</v>
      </c>
      <c r="D1550" t="s">
        <v>1</v>
      </c>
      <c r="E1550" t="s">
        <v>15</v>
      </c>
      <c r="F1550" t="s">
        <v>23</v>
      </c>
    </row>
    <row r="1551" spans="1:6" x14ac:dyDescent="0.3">
      <c r="A1551">
        <v>1550</v>
      </c>
      <c r="B1551" t="s">
        <v>6</v>
      </c>
      <c r="C1551" t="s">
        <v>7</v>
      </c>
      <c r="D1551" t="s">
        <v>8</v>
      </c>
      <c r="E1551" t="s">
        <v>9</v>
      </c>
      <c r="F1551" t="s">
        <v>23</v>
      </c>
    </row>
    <row r="1552" spans="1:6" x14ac:dyDescent="0.3">
      <c r="A1552">
        <v>1551</v>
      </c>
      <c r="B1552" t="s">
        <v>16</v>
      </c>
      <c r="C1552" t="s">
        <v>24</v>
      </c>
      <c r="D1552" t="s">
        <v>8</v>
      </c>
      <c r="E1552" t="s">
        <v>26</v>
      </c>
      <c r="F1552" t="s">
        <v>23</v>
      </c>
    </row>
    <row r="1553" spans="1:6" x14ac:dyDescent="0.3">
      <c r="A1553">
        <v>1552</v>
      </c>
      <c r="B1553" t="s">
        <v>11</v>
      </c>
      <c r="C1553" t="s">
        <v>7</v>
      </c>
      <c r="D1553" t="s">
        <v>8</v>
      </c>
      <c r="E1553" t="s">
        <v>19</v>
      </c>
      <c r="F1553" t="s">
        <v>10</v>
      </c>
    </row>
    <row r="1554" spans="1:6" x14ac:dyDescent="0.3">
      <c r="A1554">
        <v>1553</v>
      </c>
      <c r="B1554" t="s">
        <v>6</v>
      </c>
      <c r="C1554" t="s">
        <v>7</v>
      </c>
      <c r="D1554" t="s">
        <v>22</v>
      </c>
      <c r="E1554" t="s">
        <v>9</v>
      </c>
      <c r="F1554" t="s">
        <v>10</v>
      </c>
    </row>
    <row r="1555" spans="1:6" x14ac:dyDescent="0.3">
      <c r="A1555">
        <v>1554</v>
      </c>
      <c r="B1555" t="s">
        <v>14</v>
      </c>
      <c r="C1555" t="s">
        <v>7</v>
      </c>
      <c r="D1555" t="s">
        <v>8</v>
      </c>
      <c r="E1555" t="s">
        <v>21</v>
      </c>
      <c r="F1555" t="s">
        <v>13</v>
      </c>
    </row>
    <row r="1556" spans="1:6" x14ac:dyDescent="0.3">
      <c r="A1556">
        <v>1555</v>
      </c>
      <c r="B1556" t="s">
        <v>16</v>
      </c>
      <c r="C1556" t="s">
        <v>7</v>
      </c>
      <c r="D1556" t="s">
        <v>1</v>
      </c>
      <c r="E1556" t="s">
        <v>21</v>
      </c>
      <c r="F1556" t="s">
        <v>20</v>
      </c>
    </row>
    <row r="1557" spans="1:6" x14ac:dyDescent="0.3">
      <c r="A1557">
        <v>1556</v>
      </c>
      <c r="B1557" t="s">
        <v>6</v>
      </c>
      <c r="C1557" t="s">
        <v>7</v>
      </c>
      <c r="D1557" t="s">
        <v>22</v>
      </c>
      <c r="E1557" t="s">
        <v>9</v>
      </c>
      <c r="F1557" t="s">
        <v>20</v>
      </c>
    </row>
    <row r="1558" spans="1:6" x14ac:dyDescent="0.3">
      <c r="A1558">
        <v>1557</v>
      </c>
      <c r="B1558" t="s">
        <v>18</v>
      </c>
      <c r="C1558" t="s">
        <v>7</v>
      </c>
      <c r="D1558" t="s">
        <v>8</v>
      </c>
      <c r="E1558" t="s">
        <v>21</v>
      </c>
      <c r="F1558" t="s">
        <v>23</v>
      </c>
    </row>
    <row r="1559" spans="1:6" x14ac:dyDescent="0.3">
      <c r="A1559">
        <v>1558</v>
      </c>
      <c r="B1559" t="s">
        <v>11</v>
      </c>
      <c r="C1559" t="s">
        <v>7</v>
      </c>
      <c r="D1559" t="s">
        <v>8</v>
      </c>
      <c r="E1559" t="s">
        <v>19</v>
      </c>
      <c r="F1559" t="s">
        <v>10</v>
      </c>
    </row>
    <row r="1560" spans="1:6" x14ac:dyDescent="0.3">
      <c r="A1560">
        <v>1559</v>
      </c>
      <c r="B1560" t="s">
        <v>6</v>
      </c>
      <c r="C1560" t="s">
        <v>12</v>
      </c>
      <c r="D1560" t="s">
        <v>8</v>
      </c>
      <c r="E1560" t="s">
        <v>21</v>
      </c>
      <c r="F1560" t="s">
        <v>10</v>
      </c>
    </row>
    <row r="1561" spans="1:6" x14ac:dyDescent="0.3">
      <c r="A1561">
        <v>1560</v>
      </c>
      <c r="B1561" t="s">
        <v>25</v>
      </c>
      <c r="C1561" t="s">
        <v>12</v>
      </c>
      <c r="D1561" t="s">
        <v>22</v>
      </c>
      <c r="E1561" t="s">
        <v>21</v>
      </c>
      <c r="F1561" t="s">
        <v>10</v>
      </c>
    </row>
    <row r="1562" spans="1:6" x14ac:dyDescent="0.3">
      <c r="A1562">
        <v>1561</v>
      </c>
      <c r="B1562" t="s">
        <v>11</v>
      </c>
      <c r="C1562" t="s">
        <v>7</v>
      </c>
      <c r="D1562" t="s">
        <v>22</v>
      </c>
      <c r="E1562" t="s">
        <v>9</v>
      </c>
      <c r="F1562" t="s">
        <v>13</v>
      </c>
    </row>
    <row r="1563" spans="1:6" x14ac:dyDescent="0.3">
      <c r="A1563">
        <v>1562</v>
      </c>
      <c r="B1563" t="s">
        <v>11</v>
      </c>
      <c r="C1563" t="s">
        <v>7</v>
      </c>
      <c r="D1563" t="s">
        <v>22</v>
      </c>
      <c r="E1563" t="s">
        <v>21</v>
      </c>
      <c r="F1563" t="s">
        <v>10</v>
      </c>
    </row>
    <row r="1564" spans="1:6" x14ac:dyDescent="0.3">
      <c r="A1564">
        <v>1563</v>
      </c>
      <c r="B1564" t="s">
        <v>6</v>
      </c>
      <c r="C1564" t="s">
        <v>24</v>
      </c>
      <c r="D1564" t="s">
        <v>8</v>
      </c>
      <c r="E1564" t="s">
        <v>26</v>
      </c>
      <c r="F1564" t="s">
        <v>20</v>
      </c>
    </row>
    <row r="1565" spans="1:6" x14ac:dyDescent="0.3">
      <c r="A1565">
        <v>1564</v>
      </c>
      <c r="B1565" t="s">
        <v>14</v>
      </c>
      <c r="C1565" t="s">
        <v>12</v>
      </c>
      <c r="D1565" t="s">
        <v>22</v>
      </c>
      <c r="E1565" t="s">
        <v>21</v>
      </c>
      <c r="F1565" t="s">
        <v>20</v>
      </c>
    </row>
    <row r="1566" spans="1:6" x14ac:dyDescent="0.3">
      <c r="A1566">
        <v>1565</v>
      </c>
      <c r="B1566" t="s">
        <v>14</v>
      </c>
      <c r="C1566" t="s">
        <v>7</v>
      </c>
      <c r="D1566" t="s">
        <v>8</v>
      </c>
      <c r="E1566" t="s">
        <v>9</v>
      </c>
      <c r="F1566" t="s">
        <v>10</v>
      </c>
    </row>
    <row r="1567" spans="1:6" x14ac:dyDescent="0.3">
      <c r="A1567">
        <v>1566</v>
      </c>
      <c r="B1567" t="s">
        <v>6</v>
      </c>
      <c r="C1567" t="s">
        <v>7</v>
      </c>
      <c r="D1567" t="s">
        <v>8</v>
      </c>
      <c r="E1567" t="s">
        <v>15</v>
      </c>
      <c r="F1567" t="s">
        <v>20</v>
      </c>
    </row>
    <row r="1568" spans="1:6" x14ac:dyDescent="0.3">
      <c r="A1568">
        <v>1567</v>
      </c>
      <c r="B1568" t="s">
        <v>11</v>
      </c>
      <c r="C1568" t="s">
        <v>7</v>
      </c>
      <c r="D1568" t="s">
        <v>8</v>
      </c>
      <c r="E1568" t="s">
        <v>9</v>
      </c>
      <c r="F1568" t="s">
        <v>23</v>
      </c>
    </row>
    <row r="1569" spans="1:6" x14ac:dyDescent="0.3">
      <c r="A1569">
        <v>1568</v>
      </c>
      <c r="B1569" t="s">
        <v>18</v>
      </c>
      <c r="C1569" t="s">
        <v>7</v>
      </c>
      <c r="D1569" t="s">
        <v>1</v>
      </c>
      <c r="E1569" t="s">
        <v>9</v>
      </c>
      <c r="F1569" t="s">
        <v>20</v>
      </c>
    </row>
    <row r="1570" spans="1:6" x14ac:dyDescent="0.3">
      <c r="A1570">
        <v>1569</v>
      </c>
      <c r="B1570" t="s">
        <v>6</v>
      </c>
      <c r="C1570" t="s">
        <v>7</v>
      </c>
      <c r="D1570" t="s">
        <v>22</v>
      </c>
      <c r="E1570" t="s">
        <v>9</v>
      </c>
      <c r="F1570" t="s">
        <v>20</v>
      </c>
    </row>
    <row r="1571" spans="1:6" x14ac:dyDescent="0.3">
      <c r="A1571">
        <v>1570</v>
      </c>
      <c r="B1571" t="s">
        <v>6</v>
      </c>
      <c r="C1571" t="s">
        <v>7</v>
      </c>
      <c r="D1571" t="s">
        <v>22</v>
      </c>
      <c r="E1571" t="s">
        <v>15</v>
      </c>
      <c r="F1571" t="s">
        <v>13</v>
      </c>
    </row>
    <row r="1572" spans="1:6" x14ac:dyDescent="0.3">
      <c r="A1572">
        <v>1571</v>
      </c>
      <c r="B1572" t="s">
        <v>16</v>
      </c>
      <c r="C1572" t="s">
        <v>12</v>
      </c>
      <c r="D1572" t="s">
        <v>8</v>
      </c>
      <c r="E1572" t="s">
        <v>15</v>
      </c>
      <c r="F1572" t="s">
        <v>13</v>
      </c>
    </row>
    <row r="1573" spans="1:6" x14ac:dyDescent="0.3">
      <c r="A1573">
        <v>1572</v>
      </c>
      <c r="B1573" t="s">
        <v>16</v>
      </c>
      <c r="C1573" t="s">
        <v>7</v>
      </c>
      <c r="D1573" t="s">
        <v>1</v>
      </c>
      <c r="E1573" t="s">
        <v>9</v>
      </c>
      <c r="F1573" t="s">
        <v>13</v>
      </c>
    </row>
    <row r="1574" spans="1:6" x14ac:dyDescent="0.3">
      <c r="A1574">
        <v>1573</v>
      </c>
      <c r="B1574" t="s">
        <v>18</v>
      </c>
      <c r="C1574" t="s">
        <v>7</v>
      </c>
      <c r="D1574" t="s">
        <v>22</v>
      </c>
      <c r="E1574" t="s">
        <v>21</v>
      </c>
      <c r="F1574" t="s">
        <v>23</v>
      </c>
    </row>
    <row r="1575" spans="1:6" x14ac:dyDescent="0.3">
      <c r="A1575">
        <v>1574</v>
      </c>
      <c r="B1575" t="s">
        <v>18</v>
      </c>
      <c r="C1575" t="s">
        <v>7</v>
      </c>
      <c r="D1575" t="s">
        <v>22</v>
      </c>
      <c r="E1575" t="s">
        <v>9</v>
      </c>
      <c r="F1575" t="s">
        <v>10</v>
      </c>
    </row>
    <row r="1576" spans="1:6" x14ac:dyDescent="0.3">
      <c r="A1576">
        <v>1575</v>
      </c>
      <c r="B1576" t="s">
        <v>18</v>
      </c>
      <c r="C1576" t="s">
        <v>7</v>
      </c>
      <c r="D1576" t="s">
        <v>22</v>
      </c>
      <c r="E1576" t="s">
        <v>21</v>
      </c>
      <c r="F1576" t="s">
        <v>13</v>
      </c>
    </row>
    <row r="1577" spans="1:6" x14ac:dyDescent="0.3">
      <c r="A1577">
        <v>1576</v>
      </c>
      <c r="B1577" t="s">
        <v>18</v>
      </c>
      <c r="C1577" t="s">
        <v>7</v>
      </c>
      <c r="D1577" t="s">
        <v>22</v>
      </c>
      <c r="E1577" t="s">
        <v>21</v>
      </c>
      <c r="F1577" t="s">
        <v>20</v>
      </c>
    </row>
    <row r="1578" spans="1:6" x14ac:dyDescent="0.3">
      <c r="A1578">
        <v>1577</v>
      </c>
      <c r="B1578" t="s">
        <v>25</v>
      </c>
      <c r="C1578" t="s">
        <v>7</v>
      </c>
      <c r="D1578" t="s">
        <v>1</v>
      </c>
      <c r="E1578" t="s">
        <v>15</v>
      </c>
      <c r="F1578" t="s">
        <v>23</v>
      </c>
    </row>
    <row r="1579" spans="1:6" x14ac:dyDescent="0.3">
      <c r="A1579">
        <v>1578</v>
      </c>
      <c r="B1579" t="s">
        <v>25</v>
      </c>
      <c r="C1579" t="s">
        <v>7</v>
      </c>
      <c r="D1579" t="s">
        <v>8</v>
      </c>
      <c r="E1579" t="s">
        <v>21</v>
      </c>
      <c r="F1579" t="s">
        <v>10</v>
      </c>
    </row>
    <row r="1580" spans="1:6" x14ac:dyDescent="0.3">
      <c r="A1580">
        <v>1579</v>
      </c>
      <c r="B1580" t="s">
        <v>18</v>
      </c>
      <c r="C1580" t="s">
        <v>12</v>
      </c>
      <c r="D1580" t="s">
        <v>22</v>
      </c>
      <c r="E1580" t="s">
        <v>9</v>
      </c>
      <c r="F1580" t="s">
        <v>10</v>
      </c>
    </row>
    <row r="1581" spans="1:6" x14ac:dyDescent="0.3">
      <c r="A1581">
        <v>1580</v>
      </c>
      <c r="B1581" t="s">
        <v>11</v>
      </c>
      <c r="C1581" t="s">
        <v>7</v>
      </c>
      <c r="D1581" t="s">
        <v>1</v>
      </c>
      <c r="E1581" t="s">
        <v>21</v>
      </c>
      <c r="F1581" t="s">
        <v>10</v>
      </c>
    </row>
    <row r="1582" spans="1:6" x14ac:dyDescent="0.3">
      <c r="A1582">
        <v>1581</v>
      </c>
      <c r="B1582" t="s">
        <v>25</v>
      </c>
      <c r="C1582" t="s">
        <v>7</v>
      </c>
      <c r="D1582" t="s">
        <v>22</v>
      </c>
      <c r="E1582" t="s">
        <v>21</v>
      </c>
      <c r="F1582" t="s">
        <v>23</v>
      </c>
    </row>
    <row r="1583" spans="1:6" x14ac:dyDescent="0.3">
      <c r="A1583">
        <v>1582</v>
      </c>
      <c r="B1583" t="s">
        <v>11</v>
      </c>
      <c r="C1583" t="s">
        <v>24</v>
      </c>
      <c r="D1583" t="s">
        <v>1</v>
      </c>
      <c r="E1583" t="s">
        <v>15</v>
      </c>
      <c r="F1583" t="s">
        <v>13</v>
      </c>
    </row>
    <row r="1584" spans="1:6" x14ac:dyDescent="0.3">
      <c r="A1584">
        <v>1583</v>
      </c>
      <c r="B1584" t="s">
        <v>11</v>
      </c>
      <c r="C1584" t="s">
        <v>24</v>
      </c>
      <c r="D1584" t="s">
        <v>22</v>
      </c>
      <c r="E1584" t="s">
        <v>15</v>
      </c>
      <c r="F1584" t="s">
        <v>13</v>
      </c>
    </row>
    <row r="1585" spans="1:6" x14ac:dyDescent="0.3">
      <c r="A1585">
        <v>1584</v>
      </c>
      <c r="B1585" t="s">
        <v>25</v>
      </c>
      <c r="C1585" t="s">
        <v>12</v>
      </c>
      <c r="D1585" t="s">
        <v>1</v>
      </c>
      <c r="E1585" t="s">
        <v>21</v>
      </c>
      <c r="F1585" t="s">
        <v>13</v>
      </c>
    </row>
    <row r="1586" spans="1:6" x14ac:dyDescent="0.3">
      <c r="A1586">
        <v>1585</v>
      </c>
      <c r="B1586" t="s">
        <v>6</v>
      </c>
      <c r="C1586" t="s">
        <v>7</v>
      </c>
      <c r="D1586" t="s">
        <v>22</v>
      </c>
      <c r="E1586" t="s">
        <v>9</v>
      </c>
      <c r="F1586" t="s">
        <v>20</v>
      </c>
    </row>
    <row r="1587" spans="1:6" x14ac:dyDescent="0.3">
      <c r="A1587">
        <v>1586</v>
      </c>
      <c r="B1587" t="s">
        <v>18</v>
      </c>
      <c r="C1587" t="s">
        <v>7</v>
      </c>
      <c r="D1587" t="s">
        <v>1</v>
      </c>
      <c r="E1587" t="s">
        <v>21</v>
      </c>
      <c r="F1587" t="s">
        <v>20</v>
      </c>
    </row>
    <row r="1588" spans="1:6" x14ac:dyDescent="0.3">
      <c r="A1588">
        <v>1587</v>
      </c>
      <c r="B1588" t="s">
        <v>11</v>
      </c>
      <c r="C1588" t="s">
        <v>12</v>
      </c>
      <c r="D1588" t="s">
        <v>1</v>
      </c>
      <c r="E1588" t="s">
        <v>21</v>
      </c>
      <c r="F1588" t="s">
        <v>10</v>
      </c>
    </row>
    <row r="1589" spans="1:6" x14ac:dyDescent="0.3">
      <c r="A1589">
        <v>1588</v>
      </c>
      <c r="B1589" t="s">
        <v>25</v>
      </c>
      <c r="C1589" t="s">
        <v>7</v>
      </c>
      <c r="D1589" t="s">
        <v>1</v>
      </c>
      <c r="E1589" t="s">
        <v>9</v>
      </c>
      <c r="F1589" t="s">
        <v>20</v>
      </c>
    </row>
    <row r="1590" spans="1:6" x14ac:dyDescent="0.3">
      <c r="A1590">
        <v>1589</v>
      </c>
      <c r="B1590" t="s">
        <v>6</v>
      </c>
      <c r="C1590" t="s">
        <v>7</v>
      </c>
      <c r="D1590" t="s">
        <v>8</v>
      </c>
      <c r="E1590" t="s">
        <v>21</v>
      </c>
      <c r="F1590" t="s">
        <v>20</v>
      </c>
    </row>
    <row r="1591" spans="1:6" x14ac:dyDescent="0.3">
      <c r="A1591">
        <v>1590</v>
      </c>
      <c r="B1591" t="s">
        <v>16</v>
      </c>
      <c r="C1591" t="s">
        <v>12</v>
      </c>
      <c r="D1591" t="s">
        <v>8</v>
      </c>
      <c r="E1591" t="s">
        <v>9</v>
      </c>
      <c r="F1591" t="s">
        <v>20</v>
      </c>
    </row>
    <row r="1592" spans="1:6" x14ac:dyDescent="0.3">
      <c r="A1592">
        <v>1591</v>
      </c>
      <c r="B1592" t="s">
        <v>6</v>
      </c>
      <c r="C1592" t="s">
        <v>12</v>
      </c>
      <c r="D1592" t="s">
        <v>1</v>
      </c>
      <c r="E1592" t="s">
        <v>9</v>
      </c>
      <c r="F1592" t="s">
        <v>10</v>
      </c>
    </row>
    <row r="1593" spans="1:6" x14ac:dyDescent="0.3">
      <c r="A1593">
        <v>1592</v>
      </c>
      <c r="B1593" t="s">
        <v>16</v>
      </c>
      <c r="C1593" t="s">
        <v>12</v>
      </c>
      <c r="D1593" t="s">
        <v>1</v>
      </c>
      <c r="E1593" t="s">
        <v>15</v>
      </c>
      <c r="F1593" t="s">
        <v>13</v>
      </c>
    </row>
    <row r="1594" spans="1:6" x14ac:dyDescent="0.3">
      <c r="A1594">
        <v>1593</v>
      </c>
      <c r="B1594" t="s">
        <v>16</v>
      </c>
      <c r="C1594" t="s">
        <v>12</v>
      </c>
      <c r="D1594" t="s">
        <v>1</v>
      </c>
      <c r="E1594" t="s">
        <v>19</v>
      </c>
      <c r="F1594" t="s">
        <v>10</v>
      </c>
    </row>
    <row r="1595" spans="1:6" x14ac:dyDescent="0.3">
      <c r="A1595">
        <v>1594</v>
      </c>
      <c r="B1595" t="s">
        <v>16</v>
      </c>
      <c r="C1595" t="s">
        <v>7</v>
      </c>
      <c r="D1595" t="s">
        <v>8</v>
      </c>
      <c r="E1595" t="s">
        <v>21</v>
      </c>
      <c r="F1595" t="s">
        <v>13</v>
      </c>
    </row>
    <row r="1596" spans="1:6" x14ac:dyDescent="0.3">
      <c r="A1596">
        <v>1595</v>
      </c>
      <c r="B1596" t="s">
        <v>16</v>
      </c>
      <c r="C1596" t="s">
        <v>12</v>
      </c>
      <c r="D1596" t="s">
        <v>8</v>
      </c>
      <c r="E1596" t="s">
        <v>19</v>
      </c>
      <c r="F1596" t="s">
        <v>10</v>
      </c>
    </row>
    <row r="1597" spans="1:6" x14ac:dyDescent="0.3">
      <c r="A1597">
        <v>1596</v>
      </c>
      <c r="B1597" t="s">
        <v>11</v>
      </c>
      <c r="C1597" t="s">
        <v>7</v>
      </c>
      <c r="D1597" t="s">
        <v>22</v>
      </c>
      <c r="E1597" t="s">
        <v>21</v>
      </c>
      <c r="F1597" t="s">
        <v>23</v>
      </c>
    </row>
    <row r="1598" spans="1:6" x14ac:dyDescent="0.3">
      <c r="A1598">
        <v>1597</v>
      </c>
      <c r="B1598" t="s">
        <v>18</v>
      </c>
      <c r="C1598" t="s">
        <v>7</v>
      </c>
      <c r="D1598" t="s">
        <v>1</v>
      </c>
      <c r="E1598" t="s">
        <v>19</v>
      </c>
      <c r="F1598" t="s">
        <v>23</v>
      </c>
    </row>
    <row r="1599" spans="1:6" x14ac:dyDescent="0.3">
      <c r="A1599">
        <v>1598</v>
      </c>
      <c r="B1599" t="s">
        <v>14</v>
      </c>
      <c r="C1599" t="s">
        <v>12</v>
      </c>
      <c r="D1599" t="s">
        <v>8</v>
      </c>
      <c r="E1599" t="s">
        <v>21</v>
      </c>
      <c r="F1599" t="s">
        <v>10</v>
      </c>
    </row>
    <row r="1600" spans="1:6" x14ac:dyDescent="0.3">
      <c r="A1600">
        <v>1599</v>
      </c>
      <c r="B1600" t="s">
        <v>18</v>
      </c>
      <c r="C1600" t="s">
        <v>7</v>
      </c>
      <c r="D1600" t="s">
        <v>1</v>
      </c>
      <c r="E1600" t="s">
        <v>21</v>
      </c>
      <c r="F1600" t="s">
        <v>23</v>
      </c>
    </row>
    <row r="1601" spans="1:6" x14ac:dyDescent="0.3">
      <c r="A1601">
        <v>1600</v>
      </c>
      <c r="B1601" t="s">
        <v>14</v>
      </c>
      <c r="C1601" t="s">
        <v>12</v>
      </c>
      <c r="D1601" t="s">
        <v>22</v>
      </c>
      <c r="E1601" t="s">
        <v>21</v>
      </c>
      <c r="F1601" t="s">
        <v>13</v>
      </c>
    </row>
    <row r="1602" spans="1:6" x14ac:dyDescent="0.3">
      <c r="A1602">
        <v>1601</v>
      </c>
      <c r="B1602" t="s">
        <v>25</v>
      </c>
      <c r="C1602" t="s">
        <v>12</v>
      </c>
      <c r="D1602" t="s">
        <v>1</v>
      </c>
      <c r="E1602" t="s">
        <v>19</v>
      </c>
      <c r="F1602" t="s">
        <v>10</v>
      </c>
    </row>
    <row r="1603" spans="1:6" x14ac:dyDescent="0.3">
      <c r="A1603">
        <v>1602</v>
      </c>
      <c r="B1603" t="s">
        <v>16</v>
      </c>
      <c r="C1603" t="s">
        <v>7</v>
      </c>
      <c r="D1603" t="s">
        <v>8</v>
      </c>
      <c r="E1603" t="s">
        <v>9</v>
      </c>
      <c r="F1603" t="s">
        <v>20</v>
      </c>
    </row>
    <row r="1604" spans="1:6" x14ac:dyDescent="0.3">
      <c r="A1604">
        <v>1603</v>
      </c>
      <c r="B1604" t="s">
        <v>16</v>
      </c>
      <c r="C1604" t="s">
        <v>12</v>
      </c>
      <c r="D1604" t="s">
        <v>8</v>
      </c>
      <c r="E1604" t="s">
        <v>9</v>
      </c>
      <c r="F1604" t="s">
        <v>10</v>
      </c>
    </row>
    <row r="1605" spans="1:6" x14ac:dyDescent="0.3">
      <c r="A1605">
        <v>1604</v>
      </c>
      <c r="B1605" t="s">
        <v>16</v>
      </c>
      <c r="C1605" t="s">
        <v>7</v>
      </c>
      <c r="D1605" t="s">
        <v>1</v>
      </c>
      <c r="E1605" t="s">
        <v>21</v>
      </c>
      <c r="F1605" t="s">
        <v>20</v>
      </c>
    </row>
    <row r="1606" spans="1:6" x14ac:dyDescent="0.3">
      <c r="A1606">
        <v>1605</v>
      </c>
      <c r="B1606" t="s">
        <v>6</v>
      </c>
      <c r="C1606" t="s">
        <v>12</v>
      </c>
      <c r="D1606" t="s">
        <v>1</v>
      </c>
      <c r="E1606" t="s">
        <v>9</v>
      </c>
      <c r="F1606" t="s">
        <v>13</v>
      </c>
    </row>
    <row r="1607" spans="1:6" x14ac:dyDescent="0.3">
      <c r="A1607">
        <v>1606</v>
      </c>
      <c r="B1607" t="s">
        <v>25</v>
      </c>
      <c r="C1607" t="s">
        <v>12</v>
      </c>
      <c r="D1607" t="s">
        <v>1</v>
      </c>
      <c r="E1607" t="s">
        <v>9</v>
      </c>
      <c r="F1607" t="s">
        <v>20</v>
      </c>
    </row>
    <row r="1608" spans="1:6" x14ac:dyDescent="0.3">
      <c r="A1608">
        <v>1607</v>
      </c>
      <c r="B1608" t="s">
        <v>14</v>
      </c>
      <c r="C1608" t="s">
        <v>7</v>
      </c>
      <c r="D1608" t="s">
        <v>22</v>
      </c>
      <c r="E1608" t="s">
        <v>9</v>
      </c>
      <c r="F1608" t="s">
        <v>20</v>
      </c>
    </row>
    <row r="1609" spans="1:6" x14ac:dyDescent="0.3">
      <c r="A1609">
        <v>1608</v>
      </c>
      <c r="B1609" t="s">
        <v>6</v>
      </c>
      <c r="C1609" t="s">
        <v>12</v>
      </c>
      <c r="D1609" t="s">
        <v>22</v>
      </c>
      <c r="E1609" t="s">
        <v>19</v>
      </c>
      <c r="F1609" t="s">
        <v>10</v>
      </c>
    </row>
    <row r="1610" spans="1:6" x14ac:dyDescent="0.3">
      <c r="A1610">
        <v>1609</v>
      </c>
      <c r="B1610" t="s">
        <v>25</v>
      </c>
      <c r="C1610" t="s">
        <v>7</v>
      </c>
      <c r="D1610" t="s">
        <v>8</v>
      </c>
      <c r="E1610" t="s">
        <v>9</v>
      </c>
      <c r="F1610" t="s">
        <v>20</v>
      </c>
    </row>
    <row r="1611" spans="1:6" x14ac:dyDescent="0.3">
      <c r="A1611">
        <v>1610</v>
      </c>
      <c r="B1611" t="s">
        <v>25</v>
      </c>
      <c r="C1611" t="s">
        <v>7</v>
      </c>
      <c r="D1611" t="s">
        <v>22</v>
      </c>
      <c r="E1611" t="s">
        <v>21</v>
      </c>
      <c r="F1611" t="s">
        <v>13</v>
      </c>
    </row>
    <row r="1612" spans="1:6" x14ac:dyDescent="0.3">
      <c r="A1612">
        <v>1611</v>
      </c>
      <c r="B1612" t="s">
        <v>16</v>
      </c>
      <c r="C1612" t="s">
        <v>12</v>
      </c>
      <c r="D1612" t="s">
        <v>1</v>
      </c>
      <c r="E1612" t="s">
        <v>9</v>
      </c>
      <c r="F1612" t="s">
        <v>20</v>
      </c>
    </row>
    <row r="1613" spans="1:6" x14ac:dyDescent="0.3">
      <c r="A1613">
        <v>1612</v>
      </c>
      <c r="B1613" t="s">
        <v>6</v>
      </c>
      <c r="C1613" t="s">
        <v>7</v>
      </c>
      <c r="D1613" t="s">
        <v>1</v>
      </c>
      <c r="E1613" t="s">
        <v>9</v>
      </c>
      <c r="F1613" t="s">
        <v>20</v>
      </c>
    </row>
    <row r="1614" spans="1:6" x14ac:dyDescent="0.3">
      <c r="A1614">
        <v>1613</v>
      </c>
      <c r="B1614" t="s">
        <v>18</v>
      </c>
      <c r="C1614" t="s">
        <v>12</v>
      </c>
      <c r="D1614" t="s">
        <v>1</v>
      </c>
      <c r="E1614" t="s">
        <v>9</v>
      </c>
      <c r="F1614" t="s">
        <v>10</v>
      </c>
    </row>
    <row r="1615" spans="1:6" x14ac:dyDescent="0.3">
      <c r="A1615">
        <v>1614</v>
      </c>
      <c r="B1615" t="s">
        <v>18</v>
      </c>
      <c r="C1615" t="s">
        <v>7</v>
      </c>
      <c r="D1615" t="s">
        <v>22</v>
      </c>
      <c r="E1615" t="s">
        <v>21</v>
      </c>
      <c r="F1615" t="s">
        <v>13</v>
      </c>
    </row>
    <row r="1616" spans="1:6" x14ac:dyDescent="0.3">
      <c r="A1616">
        <v>1615</v>
      </c>
      <c r="B1616" t="s">
        <v>25</v>
      </c>
      <c r="C1616" t="s">
        <v>7</v>
      </c>
      <c r="D1616" t="s">
        <v>22</v>
      </c>
      <c r="E1616" t="s">
        <v>9</v>
      </c>
      <c r="F1616" t="s">
        <v>20</v>
      </c>
    </row>
    <row r="1617" spans="1:6" x14ac:dyDescent="0.3">
      <c r="A1617">
        <v>1616</v>
      </c>
      <c r="B1617" t="s">
        <v>14</v>
      </c>
      <c r="C1617" t="s">
        <v>24</v>
      </c>
      <c r="D1617" t="s">
        <v>22</v>
      </c>
      <c r="E1617" t="s">
        <v>15</v>
      </c>
      <c r="F1617" t="s">
        <v>20</v>
      </c>
    </row>
    <row r="1618" spans="1:6" x14ac:dyDescent="0.3">
      <c r="A1618">
        <v>1617</v>
      </c>
      <c r="B1618" t="s">
        <v>11</v>
      </c>
      <c r="C1618" t="s">
        <v>12</v>
      </c>
      <c r="D1618" t="s">
        <v>1</v>
      </c>
      <c r="E1618" t="s">
        <v>15</v>
      </c>
      <c r="F1618" t="s">
        <v>13</v>
      </c>
    </row>
    <row r="1619" spans="1:6" x14ac:dyDescent="0.3">
      <c r="A1619">
        <v>1618</v>
      </c>
      <c r="B1619" t="s">
        <v>14</v>
      </c>
      <c r="C1619" t="s">
        <v>12</v>
      </c>
      <c r="D1619" t="s">
        <v>22</v>
      </c>
      <c r="E1619" t="s">
        <v>9</v>
      </c>
      <c r="F1619" t="s">
        <v>23</v>
      </c>
    </row>
    <row r="1620" spans="1:6" x14ac:dyDescent="0.3">
      <c r="A1620">
        <v>1619</v>
      </c>
      <c r="B1620" t="s">
        <v>6</v>
      </c>
      <c r="C1620" t="s">
        <v>7</v>
      </c>
      <c r="D1620" t="s">
        <v>22</v>
      </c>
      <c r="E1620" t="s">
        <v>9</v>
      </c>
      <c r="F1620" t="s">
        <v>20</v>
      </c>
    </row>
    <row r="1621" spans="1:6" x14ac:dyDescent="0.3">
      <c r="A1621">
        <v>1620</v>
      </c>
      <c r="B1621" t="s">
        <v>11</v>
      </c>
      <c r="C1621" t="s">
        <v>7</v>
      </c>
      <c r="D1621" t="s">
        <v>8</v>
      </c>
      <c r="E1621" t="s">
        <v>21</v>
      </c>
      <c r="F1621" t="s">
        <v>10</v>
      </c>
    </row>
    <row r="1622" spans="1:6" x14ac:dyDescent="0.3">
      <c r="A1622">
        <v>1621</v>
      </c>
      <c r="B1622" t="s">
        <v>18</v>
      </c>
      <c r="C1622" t="s">
        <v>12</v>
      </c>
      <c r="D1622" t="s">
        <v>22</v>
      </c>
      <c r="E1622" t="s">
        <v>9</v>
      </c>
      <c r="F1622" t="s">
        <v>23</v>
      </c>
    </row>
    <row r="1623" spans="1:6" x14ac:dyDescent="0.3">
      <c r="A1623">
        <v>1622</v>
      </c>
      <c r="B1623" t="s">
        <v>14</v>
      </c>
      <c r="C1623" t="s">
        <v>24</v>
      </c>
      <c r="D1623" t="s">
        <v>1</v>
      </c>
      <c r="E1623" t="s">
        <v>9</v>
      </c>
      <c r="F1623" t="s">
        <v>20</v>
      </c>
    </row>
    <row r="1624" spans="1:6" x14ac:dyDescent="0.3">
      <c r="A1624">
        <v>1623</v>
      </c>
      <c r="B1624" t="s">
        <v>14</v>
      </c>
      <c r="C1624" t="s">
        <v>12</v>
      </c>
      <c r="D1624" t="s">
        <v>8</v>
      </c>
      <c r="E1624" t="s">
        <v>9</v>
      </c>
      <c r="F1624" t="s">
        <v>10</v>
      </c>
    </row>
    <row r="1625" spans="1:6" x14ac:dyDescent="0.3">
      <c r="A1625">
        <v>1624</v>
      </c>
      <c r="B1625" t="s">
        <v>16</v>
      </c>
      <c r="C1625" t="s">
        <v>12</v>
      </c>
      <c r="D1625" t="s">
        <v>1</v>
      </c>
      <c r="E1625" t="s">
        <v>9</v>
      </c>
      <c r="F1625" t="s">
        <v>20</v>
      </c>
    </row>
    <row r="1626" spans="1:6" x14ac:dyDescent="0.3">
      <c r="A1626">
        <v>1625</v>
      </c>
      <c r="B1626" t="s">
        <v>6</v>
      </c>
      <c r="C1626" t="s">
        <v>12</v>
      </c>
      <c r="D1626" t="s">
        <v>22</v>
      </c>
      <c r="E1626" t="s">
        <v>9</v>
      </c>
      <c r="F1626" t="s">
        <v>13</v>
      </c>
    </row>
    <row r="1627" spans="1:6" x14ac:dyDescent="0.3">
      <c r="A1627">
        <v>1626</v>
      </c>
      <c r="B1627" t="s">
        <v>16</v>
      </c>
      <c r="C1627" t="s">
        <v>7</v>
      </c>
      <c r="D1627" t="s">
        <v>8</v>
      </c>
      <c r="E1627" t="s">
        <v>9</v>
      </c>
      <c r="F1627" t="s">
        <v>10</v>
      </c>
    </row>
    <row r="1628" spans="1:6" x14ac:dyDescent="0.3">
      <c r="A1628">
        <v>1627</v>
      </c>
      <c r="B1628" t="s">
        <v>18</v>
      </c>
      <c r="C1628" t="s">
        <v>7</v>
      </c>
      <c r="D1628" t="s">
        <v>8</v>
      </c>
      <c r="E1628" t="s">
        <v>21</v>
      </c>
      <c r="F1628" t="s">
        <v>13</v>
      </c>
    </row>
    <row r="1629" spans="1:6" x14ac:dyDescent="0.3">
      <c r="A1629">
        <v>1628</v>
      </c>
      <c r="B1629" t="s">
        <v>16</v>
      </c>
      <c r="C1629" t="s">
        <v>7</v>
      </c>
      <c r="D1629" t="s">
        <v>1</v>
      </c>
      <c r="E1629" t="s">
        <v>15</v>
      </c>
      <c r="F1629" t="s">
        <v>13</v>
      </c>
    </row>
    <row r="1630" spans="1:6" x14ac:dyDescent="0.3">
      <c r="A1630">
        <v>1629</v>
      </c>
      <c r="B1630" t="s">
        <v>25</v>
      </c>
      <c r="C1630" t="s">
        <v>7</v>
      </c>
      <c r="D1630" t="s">
        <v>22</v>
      </c>
      <c r="E1630" t="s">
        <v>9</v>
      </c>
      <c r="F1630" t="s">
        <v>10</v>
      </c>
    </row>
    <row r="1631" spans="1:6" x14ac:dyDescent="0.3">
      <c r="A1631">
        <v>1630</v>
      </c>
      <c r="B1631" t="s">
        <v>11</v>
      </c>
      <c r="C1631" t="s">
        <v>12</v>
      </c>
      <c r="D1631" t="s">
        <v>1</v>
      </c>
      <c r="E1631" t="s">
        <v>9</v>
      </c>
      <c r="F1631" t="s">
        <v>13</v>
      </c>
    </row>
    <row r="1632" spans="1:6" x14ac:dyDescent="0.3">
      <c r="A1632">
        <v>1631</v>
      </c>
      <c r="B1632" t="s">
        <v>11</v>
      </c>
      <c r="C1632" t="s">
        <v>12</v>
      </c>
      <c r="D1632" t="s">
        <v>8</v>
      </c>
      <c r="E1632" t="s">
        <v>21</v>
      </c>
      <c r="F1632" t="s">
        <v>20</v>
      </c>
    </row>
    <row r="1633" spans="1:6" x14ac:dyDescent="0.3">
      <c r="A1633">
        <v>1632</v>
      </c>
      <c r="B1633" t="s">
        <v>18</v>
      </c>
      <c r="C1633" t="s">
        <v>7</v>
      </c>
      <c r="D1633" t="s">
        <v>1</v>
      </c>
      <c r="E1633" t="s">
        <v>19</v>
      </c>
      <c r="F1633" t="s">
        <v>10</v>
      </c>
    </row>
    <row r="1634" spans="1:6" x14ac:dyDescent="0.3">
      <c r="A1634">
        <v>1633</v>
      </c>
      <c r="B1634" t="s">
        <v>14</v>
      </c>
      <c r="C1634" t="s">
        <v>7</v>
      </c>
      <c r="D1634" t="s">
        <v>8</v>
      </c>
      <c r="E1634" t="s">
        <v>9</v>
      </c>
      <c r="F1634" t="s">
        <v>23</v>
      </c>
    </row>
    <row r="1635" spans="1:6" x14ac:dyDescent="0.3">
      <c r="A1635">
        <v>1634</v>
      </c>
      <c r="B1635" t="s">
        <v>16</v>
      </c>
      <c r="C1635" t="s">
        <v>7</v>
      </c>
      <c r="D1635" t="s">
        <v>1</v>
      </c>
      <c r="E1635" t="s">
        <v>9</v>
      </c>
      <c r="F1635" t="s">
        <v>20</v>
      </c>
    </row>
    <row r="1636" spans="1:6" x14ac:dyDescent="0.3">
      <c r="A1636">
        <v>1635</v>
      </c>
      <c r="B1636" t="s">
        <v>11</v>
      </c>
      <c r="C1636" t="s">
        <v>12</v>
      </c>
      <c r="D1636" t="s">
        <v>1</v>
      </c>
      <c r="E1636" t="s">
        <v>21</v>
      </c>
      <c r="F1636" t="s">
        <v>23</v>
      </c>
    </row>
    <row r="1637" spans="1:6" x14ac:dyDescent="0.3">
      <c r="A1637">
        <v>1636</v>
      </c>
      <c r="B1637" t="s">
        <v>25</v>
      </c>
      <c r="C1637" t="s">
        <v>7</v>
      </c>
      <c r="D1637" t="s">
        <v>22</v>
      </c>
      <c r="E1637" t="s">
        <v>15</v>
      </c>
      <c r="F1637" t="s">
        <v>13</v>
      </c>
    </row>
    <row r="1638" spans="1:6" x14ac:dyDescent="0.3">
      <c r="A1638">
        <v>1637</v>
      </c>
      <c r="B1638" t="s">
        <v>18</v>
      </c>
      <c r="C1638" t="s">
        <v>7</v>
      </c>
      <c r="D1638" t="s">
        <v>22</v>
      </c>
      <c r="E1638" t="s">
        <v>9</v>
      </c>
      <c r="F1638" t="s">
        <v>13</v>
      </c>
    </row>
    <row r="1639" spans="1:6" x14ac:dyDescent="0.3">
      <c r="A1639">
        <v>1638</v>
      </c>
      <c r="B1639" t="s">
        <v>18</v>
      </c>
      <c r="C1639" t="s">
        <v>7</v>
      </c>
      <c r="D1639" t="s">
        <v>8</v>
      </c>
      <c r="E1639" t="s">
        <v>21</v>
      </c>
      <c r="F1639" t="s">
        <v>10</v>
      </c>
    </row>
    <row r="1640" spans="1:6" x14ac:dyDescent="0.3">
      <c r="A1640">
        <v>1639</v>
      </c>
      <c r="B1640" t="s">
        <v>11</v>
      </c>
      <c r="C1640" t="s">
        <v>24</v>
      </c>
      <c r="D1640" t="s">
        <v>22</v>
      </c>
      <c r="E1640" t="s">
        <v>26</v>
      </c>
      <c r="F1640" t="s">
        <v>10</v>
      </c>
    </row>
    <row r="1641" spans="1:6" x14ac:dyDescent="0.3">
      <c r="A1641">
        <v>1640</v>
      </c>
      <c r="B1641" t="s">
        <v>16</v>
      </c>
      <c r="C1641" t="s">
        <v>24</v>
      </c>
      <c r="D1641" t="s">
        <v>1</v>
      </c>
      <c r="E1641" t="s">
        <v>15</v>
      </c>
      <c r="F1641" t="s">
        <v>13</v>
      </c>
    </row>
    <row r="1642" spans="1:6" x14ac:dyDescent="0.3">
      <c r="A1642">
        <v>1641</v>
      </c>
      <c r="B1642" t="s">
        <v>16</v>
      </c>
      <c r="C1642" t="s">
        <v>24</v>
      </c>
      <c r="D1642" t="s">
        <v>22</v>
      </c>
      <c r="E1642" t="s">
        <v>15</v>
      </c>
      <c r="F1642" t="s">
        <v>20</v>
      </c>
    </row>
    <row r="1643" spans="1:6" x14ac:dyDescent="0.3">
      <c r="A1643">
        <v>1642</v>
      </c>
      <c r="B1643" t="s">
        <v>25</v>
      </c>
      <c r="C1643" t="s">
        <v>24</v>
      </c>
      <c r="D1643" t="s">
        <v>8</v>
      </c>
      <c r="E1643" t="s">
        <v>26</v>
      </c>
      <c r="F1643" t="s">
        <v>23</v>
      </c>
    </row>
    <row r="1644" spans="1:6" x14ac:dyDescent="0.3">
      <c r="A1644">
        <v>1643</v>
      </c>
      <c r="B1644" t="s">
        <v>16</v>
      </c>
      <c r="C1644" t="s">
        <v>7</v>
      </c>
      <c r="D1644" t="s">
        <v>8</v>
      </c>
      <c r="E1644" t="s">
        <v>9</v>
      </c>
      <c r="F1644" t="s">
        <v>13</v>
      </c>
    </row>
    <row r="1645" spans="1:6" x14ac:dyDescent="0.3">
      <c r="A1645">
        <v>1644</v>
      </c>
      <c r="B1645" t="s">
        <v>25</v>
      </c>
      <c r="C1645" t="s">
        <v>7</v>
      </c>
      <c r="D1645" t="s">
        <v>8</v>
      </c>
      <c r="E1645" t="s">
        <v>9</v>
      </c>
      <c r="F1645" t="s">
        <v>13</v>
      </c>
    </row>
    <row r="1646" spans="1:6" x14ac:dyDescent="0.3">
      <c r="A1646">
        <v>1645</v>
      </c>
      <c r="B1646" t="s">
        <v>16</v>
      </c>
      <c r="C1646" t="s">
        <v>12</v>
      </c>
      <c r="D1646" t="s">
        <v>22</v>
      </c>
      <c r="E1646" t="s">
        <v>9</v>
      </c>
      <c r="F1646" t="s">
        <v>23</v>
      </c>
    </row>
    <row r="1647" spans="1:6" x14ac:dyDescent="0.3">
      <c r="A1647">
        <v>1646</v>
      </c>
      <c r="B1647" t="s">
        <v>18</v>
      </c>
      <c r="C1647" t="s">
        <v>7</v>
      </c>
      <c r="D1647" t="s">
        <v>22</v>
      </c>
      <c r="E1647" t="s">
        <v>21</v>
      </c>
      <c r="F1647" t="s">
        <v>20</v>
      </c>
    </row>
    <row r="1648" spans="1:6" x14ac:dyDescent="0.3">
      <c r="A1648">
        <v>1647</v>
      </c>
      <c r="B1648" t="s">
        <v>25</v>
      </c>
      <c r="C1648" t="s">
        <v>7</v>
      </c>
      <c r="D1648" t="s">
        <v>22</v>
      </c>
      <c r="E1648" t="s">
        <v>9</v>
      </c>
      <c r="F1648" t="s">
        <v>10</v>
      </c>
    </row>
    <row r="1649" spans="1:6" x14ac:dyDescent="0.3">
      <c r="A1649">
        <v>1648</v>
      </c>
      <c r="B1649" t="s">
        <v>18</v>
      </c>
      <c r="C1649" t="s">
        <v>7</v>
      </c>
      <c r="D1649" t="s">
        <v>22</v>
      </c>
      <c r="E1649" t="s">
        <v>19</v>
      </c>
      <c r="F1649" t="s">
        <v>23</v>
      </c>
    </row>
    <row r="1650" spans="1:6" x14ac:dyDescent="0.3">
      <c r="A1650">
        <v>1649</v>
      </c>
      <c r="B1650" t="s">
        <v>14</v>
      </c>
      <c r="C1650" t="s">
        <v>7</v>
      </c>
      <c r="D1650" t="s">
        <v>1</v>
      </c>
      <c r="E1650" t="s">
        <v>9</v>
      </c>
      <c r="F1650" t="s">
        <v>23</v>
      </c>
    </row>
    <row r="1651" spans="1:6" x14ac:dyDescent="0.3">
      <c r="A1651">
        <v>1650</v>
      </c>
      <c r="B1651" t="s">
        <v>18</v>
      </c>
      <c r="C1651" t="s">
        <v>12</v>
      </c>
      <c r="D1651" t="s">
        <v>8</v>
      </c>
      <c r="E1651" t="s">
        <v>19</v>
      </c>
      <c r="F1651" t="s">
        <v>10</v>
      </c>
    </row>
    <row r="1652" spans="1:6" x14ac:dyDescent="0.3">
      <c r="A1652">
        <v>1651</v>
      </c>
      <c r="B1652" t="s">
        <v>11</v>
      </c>
      <c r="C1652" t="s">
        <v>7</v>
      </c>
      <c r="D1652" t="s">
        <v>1</v>
      </c>
      <c r="E1652" t="s">
        <v>9</v>
      </c>
      <c r="F1652" t="s">
        <v>10</v>
      </c>
    </row>
    <row r="1653" spans="1:6" x14ac:dyDescent="0.3">
      <c r="A1653">
        <v>1652</v>
      </c>
      <c r="B1653" t="s">
        <v>11</v>
      </c>
      <c r="C1653" t="s">
        <v>7</v>
      </c>
      <c r="D1653" t="s">
        <v>1</v>
      </c>
      <c r="E1653" t="s">
        <v>21</v>
      </c>
      <c r="F1653" t="s">
        <v>23</v>
      </c>
    </row>
    <row r="1654" spans="1:6" x14ac:dyDescent="0.3">
      <c r="A1654">
        <v>1653</v>
      </c>
      <c r="B1654" t="s">
        <v>14</v>
      </c>
      <c r="C1654" t="s">
        <v>12</v>
      </c>
      <c r="D1654" t="s">
        <v>22</v>
      </c>
      <c r="E1654" t="s">
        <v>15</v>
      </c>
      <c r="F1654" t="s">
        <v>13</v>
      </c>
    </row>
    <row r="1655" spans="1:6" x14ac:dyDescent="0.3">
      <c r="A1655">
        <v>1654</v>
      </c>
      <c r="B1655" t="s">
        <v>11</v>
      </c>
      <c r="C1655" t="s">
        <v>24</v>
      </c>
      <c r="D1655" t="s">
        <v>8</v>
      </c>
      <c r="E1655" t="s">
        <v>26</v>
      </c>
      <c r="F1655" t="s">
        <v>23</v>
      </c>
    </row>
    <row r="1656" spans="1:6" x14ac:dyDescent="0.3">
      <c r="A1656">
        <v>1655</v>
      </c>
      <c r="B1656" t="s">
        <v>11</v>
      </c>
      <c r="C1656" t="s">
        <v>7</v>
      </c>
      <c r="D1656" t="s">
        <v>8</v>
      </c>
      <c r="E1656" t="s">
        <v>9</v>
      </c>
      <c r="F1656" t="s">
        <v>13</v>
      </c>
    </row>
    <row r="1657" spans="1:6" x14ac:dyDescent="0.3">
      <c r="A1657">
        <v>1656</v>
      </c>
      <c r="B1657" t="s">
        <v>14</v>
      </c>
      <c r="C1657" t="s">
        <v>24</v>
      </c>
      <c r="D1657" t="s">
        <v>1</v>
      </c>
      <c r="E1657" t="s">
        <v>15</v>
      </c>
      <c r="F1657" t="s">
        <v>20</v>
      </c>
    </row>
    <row r="1658" spans="1:6" x14ac:dyDescent="0.3">
      <c r="A1658">
        <v>1657</v>
      </c>
      <c r="B1658" t="s">
        <v>16</v>
      </c>
      <c r="C1658" t="s">
        <v>7</v>
      </c>
      <c r="D1658" t="s">
        <v>22</v>
      </c>
      <c r="E1658" t="s">
        <v>21</v>
      </c>
      <c r="F1658" t="s">
        <v>20</v>
      </c>
    </row>
    <row r="1659" spans="1:6" x14ac:dyDescent="0.3">
      <c r="A1659">
        <v>1658</v>
      </c>
      <c r="B1659" t="s">
        <v>14</v>
      </c>
      <c r="C1659" t="s">
        <v>12</v>
      </c>
      <c r="D1659" t="s">
        <v>22</v>
      </c>
      <c r="E1659" t="s">
        <v>9</v>
      </c>
      <c r="F1659" t="s">
        <v>23</v>
      </c>
    </row>
    <row r="1660" spans="1:6" x14ac:dyDescent="0.3">
      <c r="A1660">
        <v>1659</v>
      </c>
      <c r="B1660" t="s">
        <v>25</v>
      </c>
      <c r="C1660" t="s">
        <v>7</v>
      </c>
      <c r="D1660" t="s">
        <v>22</v>
      </c>
      <c r="E1660" t="s">
        <v>9</v>
      </c>
      <c r="F1660" t="s">
        <v>23</v>
      </c>
    </row>
    <row r="1661" spans="1:6" x14ac:dyDescent="0.3">
      <c r="A1661">
        <v>1660</v>
      </c>
      <c r="B1661" t="s">
        <v>11</v>
      </c>
      <c r="C1661" t="s">
        <v>7</v>
      </c>
      <c r="D1661" t="s">
        <v>22</v>
      </c>
      <c r="E1661" t="s">
        <v>9</v>
      </c>
      <c r="F1661" t="s">
        <v>13</v>
      </c>
    </row>
    <row r="1662" spans="1:6" x14ac:dyDescent="0.3">
      <c r="A1662">
        <v>1661</v>
      </c>
      <c r="B1662" t="s">
        <v>16</v>
      </c>
      <c r="C1662" t="s">
        <v>12</v>
      </c>
      <c r="D1662" t="s">
        <v>1</v>
      </c>
      <c r="E1662" t="s">
        <v>21</v>
      </c>
      <c r="F1662" t="s">
        <v>23</v>
      </c>
    </row>
    <row r="1663" spans="1:6" x14ac:dyDescent="0.3">
      <c r="A1663">
        <v>1662</v>
      </c>
      <c r="B1663" t="s">
        <v>14</v>
      </c>
      <c r="C1663" t="s">
        <v>24</v>
      </c>
      <c r="D1663" t="s">
        <v>8</v>
      </c>
      <c r="E1663" t="s">
        <v>15</v>
      </c>
      <c r="F1663" t="s">
        <v>13</v>
      </c>
    </row>
    <row r="1664" spans="1:6" x14ac:dyDescent="0.3">
      <c r="A1664">
        <v>1663</v>
      </c>
      <c r="B1664" t="s">
        <v>25</v>
      </c>
      <c r="C1664" t="s">
        <v>7</v>
      </c>
      <c r="D1664" t="s">
        <v>8</v>
      </c>
      <c r="E1664" t="s">
        <v>21</v>
      </c>
      <c r="F1664" t="s">
        <v>13</v>
      </c>
    </row>
    <row r="1665" spans="1:6" x14ac:dyDescent="0.3">
      <c r="A1665">
        <v>1664</v>
      </c>
      <c r="B1665" t="s">
        <v>14</v>
      </c>
      <c r="C1665" t="s">
        <v>12</v>
      </c>
      <c r="D1665" t="s">
        <v>22</v>
      </c>
      <c r="E1665" t="s">
        <v>19</v>
      </c>
      <c r="F1665" t="s">
        <v>10</v>
      </c>
    </row>
    <row r="1666" spans="1:6" x14ac:dyDescent="0.3">
      <c r="A1666">
        <v>1665</v>
      </c>
      <c r="B1666" t="s">
        <v>6</v>
      </c>
      <c r="C1666" t="s">
        <v>12</v>
      </c>
      <c r="D1666" t="s">
        <v>22</v>
      </c>
      <c r="E1666" t="s">
        <v>15</v>
      </c>
      <c r="F1666" t="s">
        <v>13</v>
      </c>
    </row>
    <row r="1667" spans="1:6" x14ac:dyDescent="0.3">
      <c r="A1667">
        <v>1666</v>
      </c>
      <c r="B1667" t="s">
        <v>11</v>
      </c>
      <c r="C1667" t="s">
        <v>12</v>
      </c>
      <c r="D1667" t="s">
        <v>22</v>
      </c>
      <c r="E1667" t="s">
        <v>21</v>
      </c>
      <c r="F1667" t="s">
        <v>20</v>
      </c>
    </row>
    <row r="1668" spans="1:6" x14ac:dyDescent="0.3">
      <c r="A1668">
        <v>1667</v>
      </c>
      <c r="B1668" t="s">
        <v>16</v>
      </c>
      <c r="C1668" t="s">
        <v>7</v>
      </c>
      <c r="D1668" t="s">
        <v>1</v>
      </c>
      <c r="E1668" t="s">
        <v>9</v>
      </c>
      <c r="F1668" t="s">
        <v>10</v>
      </c>
    </row>
    <row r="1669" spans="1:6" x14ac:dyDescent="0.3">
      <c r="A1669">
        <v>1668</v>
      </c>
      <c r="B1669" t="s">
        <v>11</v>
      </c>
      <c r="C1669" t="s">
        <v>24</v>
      </c>
      <c r="D1669" t="s">
        <v>8</v>
      </c>
      <c r="E1669" t="s">
        <v>15</v>
      </c>
      <c r="F1669" t="s">
        <v>13</v>
      </c>
    </row>
    <row r="1670" spans="1:6" x14ac:dyDescent="0.3">
      <c r="A1670">
        <v>1669</v>
      </c>
      <c r="B1670" t="s">
        <v>18</v>
      </c>
      <c r="C1670" t="s">
        <v>12</v>
      </c>
      <c r="D1670" t="s">
        <v>22</v>
      </c>
      <c r="E1670" t="s">
        <v>21</v>
      </c>
      <c r="F1670" t="s">
        <v>20</v>
      </c>
    </row>
    <row r="1671" spans="1:6" x14ac:dyDescent="0.3">
      <c r="A1671">
        <v>1670</v>
      </c>
      <c r="B1671" t="s">
        <v>16</v>
      </c>
      <c r="C1671" t="s">
        <v>24</v>
      </c>
      <c r="D1671" t="s">
        <v>8</v>
      </c>
      <c r="E1671" t="s">
        <v>26</v>
      </c>
      <c r="F1671" t="s">
        <v>13</v>
      </c>
    </row>
    <row r="1672" spans="1:6" x14ac:dyDescent="0.3">
      <c r="A1672">
        <v>1671</v>
      </c>
      <c r="B1672" t="s">
        <v>16</v>
      </c>
      <c r="C1672" t="s">
        <v>12</v>
      </c>
      <c r="D1672" t="s">
        <v>8</v>
      </c>
      <c r="E1672" t="s">
        <v>21</v>
      </c>
      <c r="F1672" t="s">
        <v>20</v>
      </c>
    </row>
    <row r="1673" spans="1:6" x14ac:dyDescent="0.3">
      <c r="A1673">
        <v>1672</v>
      </c>
      <c r="B1673" t="s">
        <v>18</v>
      </c>
      <c r="C1673" t="s">
        <v>12</v>
      </c>
      <c r="D1673" t="s">
        <v>22</v>
      </c>
      <c r="E1673" t="s">
        <v>21</v>
      </c>
      <c r="F1673" t="s">
        <v>23</v>
      </c>
    </row>
    <row r="1674" spans="1:6" x14ac:dyDescent="0.3">
      <c r="A1674">
        <v>1673</v>
      </c>
      <c r="B1674" t="s">
        <v>11</v>
      </c>
      <c r="C1674" t="s">
        <v>7</v>
      </c>
      <c r="D1674" t="s">
        <v>1</v>
      </c>
      <c r="E1674" t="s">
        <v>21</v>
      </c>
      <c r="F1674" t="s">
        <v>10</v>
      </c>
    </row>
    <row r="1675" spans="1:6" x14ac:dyDescent="0.3">
      <c r="A1675">
        <v>1674</v>
      </c>
      <c r="B1675" t="s">
        <v>6</v>
      </c>
      <c r="C1675" t="s">
        <v>7</v>
      </c>
      <c r="D1675" t="s">
        <v>22</v>
      </c>
      <c r="E1675" t="s">
        <v>9</v>
      </c>
      <c r="F1675" t="s">
        <v>20</v>
      </c>
    </row>
    <row r="1676" spans="1:6" x14ac:dyDescent="0.3">
      <c r="A1676">
        <v>1675</v>
      </c>
      <c r="B1676" t="s">
        <v>11</v>
      </c>
      <c r="C1676" t="s">
        <v>7</v>
      </c>
      <c r="D1676" t="s">
        <v>1</v>
      </c>
      <c r="E1676" t="s">
        <v>9</v>
      </c>
      <c r="F1676" t="s">
        <v>13</v>
      </c>
    </row>
    <row r="1677" spans="1:6" x14ac:dyDescent="0.3">
      <c r="A1677">
        <v>1676</v>
      </c>
      <c r="B1677" t="s">
        <v>18</v>
      </c>
      <c r="C1677" t="s">
        <v>7</v>
      </c>
      <c r="D1677" t="s">
        <v>22</v>
      </c>
      <c r="E1677" t="s">
        <v>19</v>
      </c>
      <c r="F1677" t="s">
        <v>10</v>
      </c>
    </row>
    <row r="1678" spans="1:6" x14ac:dyDescent="0.3">
      <c r="A1678">
        <v>1677</v>
      </c>
      <c r="B1678" t="s">
        <v>18</v>
      </c>
      <c r="C1678" t="s">
        <v>12</v>
      </c>
      <c r="D1678" t="s">
        <v>8</v>
      </c>
      <c r="E1678" t="s">
        <v>9</v>
      </c>
      <c r="F1678" t="s">
        <v>13</v>
      </c>
    </row>
    <row r="1679" spans="1:6" x14ac:dyDescent="0.3">
      <c r="A1679">
        <v>1678</v>
      </c>
      <c r="B1679" t="s">
        <v>11</v>
      </c>
      <c r="C1679" t="s">
        <v>7</v>
      </c>
      <c r="D1679" t="s">
        <v>1</v>
      </c>
      <c r="E1679" t="s">
        <v>15</v>
      </c>
      <c r="F1679" t="s">
        <v>13</v>
      </c>
    </row>
    <row r="1680" spans="1:6" x14ac:dyDescent="0.3">
      <c r="A1680">
        <v>1679</v>
      </c>
      <c r="B1680" t="s">
        <v>14</v>
      </c>
      <c r="C1680" t="s">
        <v>7</v>
      </c>
      <c r="D1680" t="s">
        <v>1</v>
      </c>
      <c r="E1680" t="s">
        <v>9</v>
      </c>
      <c r="F1680" t="s">
        <v>23</v>
      </c>
    </row>
    <row r="1681" spans="1:6" x14ac:dyDescent="0.3">
      <c r="A1681">
        <v>1680</v>
      </c>
      <c r="B1681" t="s">
        <v>25</v>
      </c>
      <c r="C1681" t="s">
        <v>7</v>
      </c>
      <c r="D1681" t="s">
        <v>22</v>
      </c>
      <c r="E1681" t="s">
        <v>21</v>
      </c>
      <c r="F1681" t="s">
        <v>10</v>
      </c>
    </row>
    <row r="1682" spans="1:6" x14ac:dyDescent="0.3">
      <c r="A1682">
        <v>1681</v>
      </c>
      <c r="B1682" t="s">
        <v>6</v>
      </c>
      <c r="C1682" t="s">
        <v>12</v>
      </c>
      <c r="D1682" t="s">
        <v>8</v>
      </c>
      <c r="E1682" t="s">
        <v>9</v>
      </c>
      <c r="F1682" t="s">
        <v>13</v>
      </c>
    </row>
    <row r="1683" spans="1:6" x14ac:dyDescent="0.3">
      <c r="A1683">
        <v>1682</v>
      </c>
      <c r="B1683" t="s">
        <v>25</v>
      </c>
      <c r="C1683" t="s">
        <v>12</v>
      </c>
      <c r="D1683" t="s">
        <v>1</v>
      </c>
      <c r="E1683" t="s">
        <v>21</v>
      </c>
      <c r="F1683" t="s">
        <v>10</v>
      </c>
    </row>
    <row r="1684" spans="1:6" x14ac:dyDescent="0.3">
      <c r="A1684">
        <v>1683</v>
      </c>
      <c r="B1684" t="s">
        <v>18</v>
      </c>
      <c r="C1684" t="s">
        <v>7</v>
      </c>
      <c r="D1684" t="s">
        <v>22</v>
      </c>
      <c r="E1684" t="s">
        <v>19</v>
      </c>
      <c r="F1684" t="s">
        <v>23</v>
      </c>
    </row>
    <row r="1685" spans="1:6" x14ac:dyDescent="0.3">
      <c r="A1685">
        <v>1684</v>
      </c>
      <c r="B1685" t="s">
        <v>16</v>
      </c>
      <c r="C1685" t="s">
        <v>7</v>
      </c>
      <c r="D1685" t="s">
        <v>8</v>
      </c>
      <c r="E1685" t="s">
        <v>15</v>
      </c>
      <c r="F1685" t="s">
        <v>23</v>
      </c>
    </row>
    <row r="1686" spans="1:6" x14ac:dyDescent="0.3">
      <c r="A1686">
        <v>1685</v>
      </c>
      <c r="B1686" t="s">
        <v>14</v>
      </c>
      <c r="C1686" t="s">
        <v>12</v>
      </c>
      <c r="D1686" t="s">
        <v>1</v>
      </c>
      <c r="E1686" t="s">
        <v>15</v>
      </c>
      <c r="F1686" t="s">
        <v>23</v>
      </c>
    </row>
    <row r="1687" spans="1:6" x14ac:dyDescent="0.3">
      <c r="A1687">
        <v>1686</v>
      </c>
      <c r="B1687" t="s">
        <v>16</v>
      </c>
      <c r="C1687" t="s">
        <v>12</v>
      </c>
      <c r="D1687" t="s">
        <v>1</v>
      </c>
      <c r="E1687" t="s">
        <v>15</v>
      </c>
      <c r="F1687" t="s">
        <v>23</v>
      </c>
    </row>
    <row r="1688" spans="1:6" x14ac:dyDescent="0.3">
      <c r="A1688">
        <v>1687</v>
      </c>
      <c r="B1688" t="s">
        <v>18</v>
      </c>
      <c r="C1688" t="s">
        <v>7</v>
      </c>
      <c r="D1688" t="s">
        <v>8</v>
      </c>
      <c r="E1688" t="s">
        <v>19</v>
      </c>
      <c r="F1688" t="s">
        <v>10</v>
      </c>
    </row>
    <row r="1689" spans="1:6" x14ac:dyDescent="0.3">
      <c r="A1689">
        <v>1688</v>
      </c>
      <c r="B1689" t="s">
        <v>14</v>
      </c>
      <c r="C1689" t="s">
        <v>7</v>
      </c>
      <c r="D1689" t="s">
        <v>1</v>
      </c>
      <c r="E1689" t="s">
        <v>15</v>
      </c>
      <c r="F1689" t="s">
        <v>20</v>
      </c>
    </row>
    <row r="1690" spans="1:6" x14ac:dyDescent="0.3">
      <c r="A1690">
        <v>1689</v>
      </c>
      <c r="B1690" t="s">
        <v>6</v>
      </c>
      <c r="C1690" t="s">
        <v>7</v>
      </c>
      <c r="D1690" t="s">
        <v>1</v>
      </c>
      <c r="E1690" t="s">
        <v>9</v>
      </c>
      <c r="F1690" t="s">
        <v>10</v>
      </c>
    </row>
    <row r="1691" spans="1:6" x14ac:dyDescent="0.3">
      <c r="A1691">
        <v>1690</v>
      </c>
      <c r="B1691" t="s">
        <v>25</v>
      </c>
      <c r="C1691" t="s">
        <v>12</v>
      </c>
      <c r="D1691" t="s">
        <v>8</v>
      </c>
      <c r="E1691" t="s">
        <v>21</v>
      </c>
      <c r="F1691" t="s">
        <v>13</v>
      </c>
    </row>
    <row r="1692" spans="1:6" x14ac:dyDescent="0.3">
      <c r="A1692">
        <v>1691</v>
      </c>
      <c r="B1692" t="s">
        <v>6</v>
      </c>
      <c r="C1692" t="s">
        <v>7</v>
      </c>
      <c r="D1692" t="s">
        <v>22</v>
      </c>
      <c r="E1692" t="s">
        <v>21</v>
      </c>
      <c r="F1692" t="s">
        <v>10</v>
      </c>
    </row>
    <row r="1693" spans="1:6" x14ac:dyDescent="0.3">
      <c r="A1693">
        <v>1692</v>
      </c>
      <c r="B1693" t="s">
        <v>14</v>
      </c>
      <c r="C1693" t="s">
        <v>7</v>
      </c>
      <c r="D1693" t="s">
        <v>1</v>
      </c>
      <c r="E1693" t="s">
        <v>9</v>
      </c>
      <c r="F1693" t="s">
        <v>10</v>
      </c>
    </row>
    <row r="1694" spans="1:6" x14ac:dyDescent="0.3">
      <c r="A1694">
        <v>1693</v>
      </c>
      <c r="B1694" t="s">
        <v>16</v>
      </c>
      <c r="C1694" t="s">
        <v>12</v>
      </c>
      <c r="D1694" t="s">
        <v>8</v>
      </c>
      <c r="E1694" t="s">
        <v>9</v>
      </c>
      <c r="F1694" t="s">
        <v>20</v>
      </c>
    </row>
    <row r="1695" spans="1:6" x14ac:dyDescent="0.3">
      <c r="A1695">
        <v>1694</v>
      </c>
      <c r="B1695" t="s">
        <v>11</v>
      </c>
      <c r="C1695" t="s">
        <v>12</v>
      </c>
      <c r="D1695" t="s">
        <v>22</v>
      </c>
      <c r="E1695" t="s">
        <v>21</v>
      </c>
      <c r="F1695" t="s">
        <v>20</v>
      </c>
    </row>
    <row r="1696" spans="1:6" x14ac:dyDescent="0.3">
      <c r="A1696">
        <v>1695</v>
      </c>
      <c r="B1696" t="s">
        <v>11</v>
      </c>
      <c r="C1696" t="s">
        <v>12</v>
      </c>
      <c r="D1696" t="s">
        <v>8</v>
      </c>
      <c r="E1696" t="s">
        <v>15</v>
      </c>
      <c r="F1696" t="s">
        <v>23</v>
      </c>
    </row>
    <row r="1697" spans="1:6" x14ac:dyDescent="0.3">
      <c r="A1697">
        <v>1696</v>
      </c>
      <c r="B1697" t="s">
        <v>18</v>
      </c>
      <c r="C1697" t="s">
        <v>7</v>
      </c>
      <c r="D1697" t="s">
        <v>1</v>
      </c>
      <c r="E1697" t="s">
        <v>19</v>
      </c>
      <c r="F1697" t="s">
        <v>23</v>
      </c>
    </row>
    <row r="1698" spans="1:6" x14ac:dyDescent="0.3">
      <c r="A1698">
        <v>1697</v>
      </c>
      <c r="B1698" t="s">
        <v>25</v>
      </c>
      <c r="C1698" t="s">
        <v>7</v>
      </c>
      <c r="D1698" t="s">
        <v>22</v>
      </c>
      <c r="E1698" t="s">
        <v>9</v>
      </c>
      <c r="F1698" t="s">
        <v>20</v>
      </c>
    </row>
    <row r="1699" spans="1:6" x14ac:dyDescent="0.3">
      <c r="A1699">
        <v>1698</v>
      </c>
      <c r="B1699" t="s">
        <v>14</v>
      </c>
      <c r="C1699" t="s">
        <v>7</v>
      </c>
      <c r="D1699" t="s">
        <v>8</v>
      </c>
      <c r="E1699" t="s">
        <v>9</v>
      </c>
      <c r="F1699" t="s">
        <v>20</v>
      </c>
    </row>
    <row r="1700" spans="1:6" x14ac:dyDescent="0.3">
      <c r="A1700">
        <v>1699</v>
      </c>
      <c r="B1700" t="s">
        <v>6</v>
      </c>
      <c r="C1700" t="s">
        <v>24</v>
      </c>
      <c r="D1700" t="s">
        <v>8</v>
      </c>
      <c r="E1700" t="s">
        <v>15</v>
      </c>
      <c r="F1700" t="s">
        <v>13</v>
      </c>
    </row>
    <row r="1701" spans="1:6" x14ac:dyDescent="0.3">
      <c r="A1701">
        <v>1700</v>
      </c>
      <c r="B1701" t="s">
        <v>14</v>
      </c>
      <c r="C1701" t="s">
        <v>7</v>
      </c>
      <c r="D1701" t="s">
        <v>8</v>
      </c>
      <c r="E1701" t="s">
        <v>21</v>
      </c>
      <c r="F1701" t="s">
        <v>10</v>
      </c>
    </row>
    <row r="1702" spans="1:6" x14ac:dyDescent="0.3">
      <c r="A1702">
        <v>1701</v>
      </c>
      <c r="B1702" t="s">
        <v>14</v>
      </c>
      <c r="C1702" t="s">
        <v>24</v>
      </c>
      <c r="D1702" t="s">
        <v>1</v>
      </c>
      <c r="E1702" t="s">
        <v>9</v>
      </c>
      <c r="F1702" t="s">
        <v>13</v>
      </c>
    </row>
    <row r="1703" spans="1:6" x14ac:dyDescent="0.3">
      <c r="A1703">
        <v>1702</v>
      </c>
      <c r="B1703" t="s">
        <v>16</v>
      </c>
      <c r="C1703" t="s">
        <v>24</v>
      </c>
      <c r="D1703" t="s">
        <v>8</v>
      </c>
      <c r="E1703" t="s">
        <v>26</v>
      </c>
      <c r="F1703" t="s">
        <v>10</v>
      </c>
    </row>
    <row r="1704" spans="1:6" x14ac:dyDescent="0.3">
      <c r="A1704">
        <v>1703</v>
      </c>
      <c r="B1704" t="s">
        <v>14</v>
      </c>
      <c r="C1704" t="s">
        <v>7</v>
      </c>
      <c r="D1704" t="s">
        <v>1</v>
      </c>
      <c r="E1704" t="s">
        <v>21</v>
      </c>
      <c r="F1704" t="s">
        <v>13</v>
      </c>
    </row>
    <row r="1705" spans="1:6" x14ac:dyDescent="0.3">
      <c r="A1705">
        <v>1704</v>
      </c>
      <c r="B1705" t="s">
        <v>18</v>
      </c>
      <c r="C1705" t="s">
        <v>12</v>
      </c>
      <c r="D1705" t="s">
        <v>8</v>
      </c>
      <c r="E1705" t="s">
        <v>21</v>
      </c>
      <c r="F1705" t="s">
        <v>23</v>
      </c>
    </row>
    <row r="1706" spans="1:6" x14ac:dyDescent="0.3">
      <c r="A1706">
        <v>1705</v>
      </c>
      <c r="B1706" t="s">
        <v>18</v>
      </c>
      <c r="C1706" t="s">
        <v>7</v>
      </c>
      <c r="D1706" t="s">
        <v>22</v>
      </c>
      <c r="E1706" t="s">
        <v>19</v>
      </c>
      <c r="F1706" t="s">
        <v>13</v>
      </c>
    </row>
    <row r="1707" spans="1:6" x14ac:dyDescent="0.3">
      <c r="A1707">
        <v>1706</v>
      </c>
      <c r="B1707" t="s">
        <v>11</v>
      </c>
      <c r="C1707" t="s">
        <v>12</v>
      </c>
      <c r="D1707" t="s">
        <v>22</v>
      </c>
      <c r="E1707" t="s">
        <v>9</v>
      </c>
      <c r="F1707" t="s">
        <v>13</v>
      </c>
    </row>
    <row r="1708" spans="1:6" x14ac:dyDescent="0.3">
      <c r="A1708">
        <v>1707</v>
      </c>
      <c r="B1708" t="s">
        <v>11</v>
      </c>
      <c r="C1708" t="s">
        <v>12</v>
      </c>
      <c r="D1708" t="s">
        <v>8</v>
      </c>
      <c r="E1708" t="s">
        <v>21</v>
      </c>
      <c r="F1708" t="s">
        <v>23</v>
      </c>
    </row>
    <row r="1709" spans="1:6" x14ac:dyDescent="0.3">
      <c r="A1709">
        <v>1708</v>
      </c>
      <c r="B1709" t="s">
        <v>16</v>
      </c>
      <c r="C1709" t="s">
        <v>7</v>
      </c>
      <c r="D1709" t="s">
        <v>1</v>
      </c>
      <c r="E1709" t="s">
        <v>9</v>
      </c>
      <c r="F1709" t="s">
        <v>23</v>
      </c>
    </row>
    <row r="1710" spans="1:6" x14ac:dyDescent="0.3">
      <c r="A1710">
        <v>1709</v>
      </c>
      <c r="B1710" t="s">
        <v>25</v>
      </c>
      <c r="C1710" t="s">
        <v>7</v>
      </c>
      <c r="D1710" t="s">
        <v>8</v>
      </c>
      <c r="E1710" t="s">
        <v>21</v>
      </c>
      <c r="F1710" t="s">
        <v>20</v>
      </c>
    </row>
    <row r="1711" spans="1:6" x14ac:dyDescent="0.3">
      <c r="A1711">
        <v>1710</v>
      </c>
      <c r="B1711" t="s">
        <v>18</v>
      </c>
      <c r="C1711" t="s">
        <v>12</v>
      </c>
      <c r="D1711" t="s">
        <v>1</v>
      </c>
      <c r="E1711" t="s">
        <v>19</v>
      </c>
      <c r="F1711" t="s">
        <v>20</v>
      </c>
    </row>
    <row r="1712" spans="1:6" x14ac:dyDescent="0.3">
      <c r="A1712">
        <v>1711</v>
      </c>
      <c r="B1712" t="s">
        <v>16</v>
      </c>
      <c r="C1712" t="s">
        <v>7</v>
      </c>
      <c r="D1712" t="s">
        <v>1</v>
      </c>
      <c r="E1712" t="s">
        <v>9</v>
      </c>
      <c r="F1712" t="s">
        <v>13</v>
      </c>
    </row>
    <row r="1713" spans="1:6" x14ac:dyDescent="0.3">
      <c r="A1713">
        <v>1712</v>
      </c>
      <c r="B1713" t="s">
        <v>6</v>
      </c>
      <c r="C1713" t="s">
        <v>12</v>
      </c>
      <c r="D1713" t="s">
        <v>1</v>
      </c>
      <c r="E1713" t="s">
        <v>9</v>
      </c>
      <c r="F1713" t="s">
        <v>23</v>
      </c>
    </row>
    <row r="1714" spans="1:6" x14ac:dyDescent="0.3">
      <c r="A1714">
        <v>1713</v>
      </c>
      <c r="B1714" t="s">
        <v>11</v>
      </c>
      <c r="C1714" t="s">
        <v>7</v>
      </c>
      <c r="D1714" t="s">
        <v>22</v>
      </c>
      <c r="E1714" t="s">
        <v>9</v>
      </c>
      <c r="F1714" t="s">
        <v>20</v>
      </c>
    </row>
    <row r="1715" spans="1:6" x14ac:dyDescent="0.3">
      <c r="A1715">
        <v>1714</v>
      </c>
      <c r="B1715" t="s">
        <v>16</v>
      </c>
      <c r="C1715" t="s">
        <v>24</v>
      </c>
      <c r="D1715" t="s">
        <v>1</v>
      </c>
      <c r="E1715" t="s">
        <v>15</v>
      </c>
      <c r="F1715" t="s">
        <v>20</v>
      </c>
    </row>
    <row r="1716" spans="1:6" x14ac:dyDescent="0.3">
      <c r="A1716">
        <v>1715</v>
      </c>
      <c r="B1716" t="s">
        <v>11</v>
      </c>
      <c r="C1716" t="s">
        <v>7</v>
      </c>
      <c r="D1716" t="s">
        <v>1</v>
      </c>
      <c r="E1716" t="s">
        <v>9</v>
      </c>
      <c r="F1716" t="s">
        <v>10</v>
      </c>
    </row>
    <row r="1717" spans="1:6" x14ac:dyDescent="0.3">
      <c r="A1717">
        <v>1716</v>
      </c>
      <c r="B1717" t="s">
        <v>25</v>
      </c>
      <c r="C1717" t="s">
        <v>12</v>
      </c>
      <c r="D1717" t="s">
        <v>22</v>
      </c>
      <c r="E1717" t="s">
        <v>15</v>
      </c>
      <c r="F1717" t="s">
        <v>23</v>
      </c>
    </row>
    <row r="1718" spans="1:6" x14ac:dyDescent="0.3">
      <c r="A1718">
        <v>1717</v>
      </c>
      <c r="B1718" t="s">
        <v>6</v>
      </c>
      <c r="C1718" t="s">
        <v>7</v>
      </c>
      <c r="D1718" t="s">
        <v>22</v>
      </c>
      <c r="E1718" t="s">
        <v>15</v>
      </c>
      <c r="F1718" t="s">
        <v>20</v>
      </c>
    </row>
    <row r="1719" spans="1:6" x14ac:dyDescent="0.3">
      <c r="A1719">
        <v>1718</v>
      </c>
      <c r="B1719" t="s">
        <v>6</v>
      </c>
      <c r="C1719" t="s">
        <v>12</v>
      </c>
      <c r="D1719" t="s">
        <v>1</v>
      </c>
      <c r="E1719" t="s">
        <v>19</v>
      </c>
      <c r="F1719" t="s">
        <v>10</v>
      </c>
    </row>
    <row r="1720" spans="1:6" x14ac:dyDescent="0.3">
      <c r="A1720">
        <v>1719</v>
      </c>
      <c r="B1720" t="s">
        <v>16</v>
      </c>
      <c r="C1720" t="s">
        <v>7</v>
      </c>
      <c r="D1720" t="s">
        <v>22</v>
      </c>
      <c r="E1720" t="s">
        <v>9</v>
      </c>
      <c r="F1720" t="s">
        <v>13</v>
      </c>
    </row>
    <row r="1721" spans="1:6" x14ac:dyDescent="0.3">
      <c r="A1721">
        <v>1720</v>
      </c>
      <c r="B1721" t="s">
        <v>6</v>
      </c>
      <c r="C1721" t="s">
        <v>24</v>
      </c>
      <c r="D1721" t="s">
        <v>22</v>
      </c>
      <c r="E1721" t="s">
        <v>15</v>
      </c>
      <c r="F1721" t="s">
        <v>20</v>
      </c>
    </row>
    <row r="1722" spans="1:6" x14ac:dyDescent="0.3">
      <c r="A1722">
        <v>1721</v>
      </c>
      <c r="B1722" t="s">
        <v>18</v>
      </c>
      <c r="C1722" t="s">
        <v>7</v>
      </c>
      <c r="D1722" t="s">
        <v>22</v>
      </c>
      <c r="E1722" t="s">
        <v>19</v>
      </c>
      <c r="F1722" t="s">
        <v>20</v>
      </c>
    </row>
    <row r="1723" spans="1:6" x14ac:dyDescent="0.3">
      <c r="A1723">
        <v>1722</v>
      </c>
      <c r="B1723" t="s">
        <v>18</v>
      </c>
      <c r="C1723" t="s">
        <v>12</v>
      </c>
      <c r="D1723" t="s">
        <v>1</v>
      </c>
      <c r="E1723" t="s">
        <v>19</v>
      </c>
      <c r="F1723" t="s">
        <v>10</v>
      </c>
    </row>
    <row r="1724" spans="1:6" x14ac:dyDescent="0.3">
      <c r="A1724">
        <v>1723</v>
      </c>
      <c r="B1724" t="s">
        <v>14</v>
      </c>
      <c r="C1724" t="s">
        <v>7</v>
      </c>
      <c r="D1724" t="s">
        <v>8</v>
      </c>
      <c r="E1724" t="s">
        <v>9</v>
      </c>
      <c r="F1724" t="s">
        <v>13</v>
      </c>
    </row>
    <row r="1725" spans="1:6" x14ac:dyDescent="0.3">
      <c r="A1725">
        <v>1724</v>
      </c>
      <c r="B1725" t="s">
        <v>16</v>
      </c>
      <c r="C1725" t="s">
        <v>7</v>
      </c>
      <c r="D1725" t="s">
        <v>1</v>
      </c>
      <c r="E1725" t="s">
        <v>21</v>
      </c>
      <c r="F1725" t="s">
        <v>13</v>
      </c>
    </row>
    <row r="1726" spans="1:6" x14ac:dyDescent="0.3">
      <c r="A1726">
        <v>1725</v>
      </c>
      <c r="B1726" t="s">
        <v>18</v>
      </c>
      <c r="C1726" t="s">
        <v>12</v>
      </c>
      <c r="D1726" t="s">
        <v>1</v>
      </c>
      <c r="E1726" t="s">
        <v>9</v>
      </c>
      <c r="F1726" t="s">
        <v>20</v>
      </c>
    </row>
    <row r="1727" spans="1:6" x14ac:dyDescent="0.3">
      <c r="A1727">
        <v>1726</v>
      </c>
      <c r="B1727" t="s">
        <v>18</v>
      </c>
      <c r="C1727" t="s">
        <v>7</v>
      </c>
      <c r="D1727" t="s">
        <v>1</v>
      </c>
      <c r="E1727" t="s">
        <v>21</v>
      </c>
      <c r="F1727" t="s">
        <v>13</v>
      </c>
    </row>
    <row r="1728" spans="1:6" x14ac:dyDescent="0.3">
      <c r="A1728">
        <v>1727</v>
      </c>
      <c r="B1728" t="s">
        <v>11</v>
      </c>
      <c r="C1728" t="s">
        <v>7</v>
      </c>
      <c r="D1728" t="s">
        <v>1</v>
      </c>
      <c r="E1728" t="s">
        <v>21</v>
      </c>
      <c r="F1728" t="s">
        <v>13</v>
      </c>
    </row>
    <row r="1729" spans="1:6" x14ac:dyDescent="0.3">
      <c r="A1729">
        <v>1728</v>
      </c>
      <c r="B1729" t="s">
        <v>25</v>
      </c>
      <c r="C1729" t="s">
        <v>7</v>
      </c>
      <c r="D1729" t="s">
        <v>1</v>
      </c>
      <c r="E1729" t="s">
        <v>21</v>
      </c>
      <c r="F1729" t="s">
        <v>10</v>
      </c>
    </row>
    <row r="1730" spans="1:6" x14ac:dyDescent="0.3">
      <c r="A1730">
        <v>1729</v>
      </c>
      <c r="B1730" t="s">
        <v>6</v>
      </c>
      <c r="C1730" t="s">
        <v>7</v>
      </c>
      <c r="D1730" t="s">
        <v>22</v>
      </c>
      <c r="E1730" t="s">
        <v>9</v>
      </c>
      <c r="F1730" t="s">
        <v>10</v>
      </c>
    </row>
    <row r="1731" spans="1:6" x14ac:dyDescent="0.3">
      <c r="A1731">
        <v>1730</v>
      </c>
      <c r="B1731" t="s">
        <v>16</v>
      </c>
      <c r="C1731" t="s">
        <v>7</v>
      </c>
      <c r="D1731" t="s">
        <v>1</v>
      </c>
      <c r="E1731" t="s">
        <v>9</v>
      </c>
      <c r="F1731" t="s">
        <v>23</v>
      </c>
    </row>
    <row r="1732" spans="1:6" x14ac:dyDescent="0.3">
      <c r="A1732">
        <v>1731</v>
      </c>
      <c r="B1732" t="s">
        <v>6</v>
      </c>
      <c r="C1732" t="s">
        <v>7</v>
      </c>
      <c r="D1732" t="s">
        <v>22</v>
      </c>
      <c r="E1732" t="s">
        <v>9</v>
      </c>
      <c r="F1732" t="s">
        <v>10</v>
      </c>
    </row>
    <row r="1733" spans="1:6" x14ac:dyDescent="0.3">
      <c r="A1733">
        <v>1732</v>
      </c>
      <c r="B1733" t="s">
        <v>18</v>
      </c>
      <c r="C1733" t="s">
        <v>7</v>
      </c>
      <c r="D1733" t="s">
        <v>22</v>
      </c>
      <c r="E1733" t="s">
        <v>9</v>
      </c>
      <c r="F1733" t="s">
        <v>10</v>
      </c>
    </row>
    <row r="1734" spans="1:6" x14ac:dyDescent="0.3">
      <c r="A1734">
        <v>1733</v>
      </c>
      <c r="B1734" t="s">
        <v>18</v>
      </c>
      <c r="C1734" t="s">
        <v>12</v>
      </c>
      <c r="D1734" t="s">
        <v>8</v>
      </c>
      <c r="E1734" t="s">
        <v>21</v>
      </c>
      <c r="F1734" t="s">
        <v>13</v>
      </c>
    </row>
    <row r="1735" spans="1:6" x14ac:dyDescent="0.3">
      <c r="A1735">
        <v>1734</v>
      </c>
      <c r="B1735" t="s">
        <v>11</v>
      </c>
      <c r="C1735" t="s">
        <v>7</v>
      </c>
      <c r="D1735" t="s">
        <v>1</v>
      </c>
      <c r="E1735" t="s">
        <v>9</v>
      </c>
      <c r="F1735" t="s">
        <v>13</v>
      </c>
    </row>
    <row r="1736" spans="1:6" x14ac:dyDescent="0.3">
      <c r="A1736">
        <v>1735</v>
      </c>
      <c r="B1736" t="s">
        <v>18</v>
      </c>
      <c r="C1736" t="s">
        <v>7</v>
      </c>
      <c r="D1736" t="s">
        <v>1</v>
      </c>
      <c r="E1736" t="s">
        <v>21</v>
      </c>
      <c r="F1736" t="s">
        <v>10</v>
      </c>
    </row>
    <row r="1737" spans="1:6" x14ac:dyDescent="0.3">
      <c r="A1737">
        <v>1736</v>
      </c>
      <c r="B1737" t="s">
        <v>14</v>
      </c>
      <c r="C1737" t="s">
        <v>7</v>
      </c>
      <c r="D1737" t="s">
        <v>22</v>
      </c>
      <c r="E1737" t="s">
        <v>9</v>
      </c>
      <c r="F1737" t="s">
        <v>10</v>
      </c>
    </row>
    <row r="1738" spans="1:6" x14ac:dyDescent="0.3">
      <c r="A1738">
        <v>1737</v>
      </c>
      <c r="B1738" t="s">
        <v>18</v>
      </c>
      <c r="C1738" t="s">
        <v>7</v>
      </c>
      <c r="D1738" t="s">
        <v>8</v>
      </c>
      <c r="E1738" t="s">
        <v>19</v>
      </c>
      <c r="F1738" t="s">
        <v>13</v>
      </c>
    </row>
    <row r="1739" spans="1:6" x14ac:dyDescent="0.3">
      <c r="A1739">
        <v>1738</v>
      </c>
      <c r="B1739" t="s">
        <v>25</v>
      </c>
      <c r="C1739" t="s">
        <v>12</v>
      </c>
      <c r="D1739" t="s">
        <v>1</v>
      </c>
      <c r="E1739" t="s">
        <v>19</v>
      </c>
      <c r="F1739" t="s">
        <v>10</v>
      </c>
    </row>
    <row r="1740" spans="1:6" x14ac:dyDescent="0.3">
      <c r="A1740">
        <v>1739</v>
      </c>
      <c r="B1740" t="s">
        <v>6</v>
      </c>
      <c r="C1740" t="s">
        <v>12</v>
      </c>
      <c r="D1740" t="s">
        <v>8</v>
      </c>
      <c r="E1740" t="s">
        <v>15</v>
      </c>
      <c r="F1740" t="s">
        <v>20</v>
      </c>
    </row>
    <row r="1741" spans="1:6" x14ac:dyDescent="0.3">
      <c r="A1741">
        <v>1740</v>
      </c>
      <c r="B1741" t="s">
        <v>6</v>
      </c>
      <c r="C1741" t="s">
        <v>24</v>
      </c>
      <c r="D1741" t="s">
        <v>8</v>
      </c>
      <c r="E1741" t="s">
        <v>15</v>
      </c>
      <c r="F1741" t="s">
        <v>23</v>
      </c>
    </row>
    <row r="1742" spans="1:6" x14ac:dyDescent="0.3">
      <c r="A1742">
        <v>1741</v>
      </c>
      <c r="B1742" t="s">
        <v>18</v>
      </c>
      <c r="C1742" t="s">
        <v>12</v>
      </c>
      <c r="D1742" t="s">
        <v>22</v>
      </c>
      <c r="E1742" t="s">
        <v>9</v>
      </c>
      <c r="F1742" t="s">
        <v>23</v>
      </c>
    </row>
    <row r="1743" spans="1:6" x14ac:dyDescent="0.3">
      <c r="A1743">
        <v>1742</v>
      </c>
      <c r="B1743" t="s">
        <v>6</v>
      </c>
      <c r="C1743" t="s">
        <v>7</v>
      </c>
      <c r="D1743" t="s">
        <v>1</v>
      </c>
      <c r="E1743" t="s">
        <v>9</v>
      </c>
      <c r="F1743" t="s">
        <v>10</v>
      </c>
    </row>
    <row r="1744" spans="1:6" x14ac:dyDescent="0.3">
      <c r="A1744">
        <v>1743</v>
      </c>
      <c r="B1744" t="s">
        <v>6</v>
      </c>
      <c r="C1744" t="s">
        <v>7</v>
      </c>
      <c r="D1744" t="s">
        <v>1</v>
      </c>
      <c r="E1744" t="s">
        <v>21</v>
      </c>
      <c r="F1744" t="s">
        <v>23</v>
      </c>
    </row>
    <row r="1745" spans="1:6" x14ac:dyDescent="0.3">
      <c r="A1745">
        <v>1744</v>
      </c>
      <c r="B1745" t="s">
        <v>14</v>
      </c>
      <c r="C1745" t="s">
        <v>12</v>
      </c>
      <c r="D1745" t="s">
        <v>8</v>
      </c>
      <c r="E1745" t="s">
        <v>9</v>
      </c>
      <c r="F1745" t="s">
        <v>10</v>
      </c>
    </row>
    <row r="1746" spans="1:6" x14ac:dyDescent="0.3">
      <c r="A1746">
        <v>1745</v>
      </c>
      <c r="B1746" t="s">
        <v>14</v>
      </c>
      <c r="C1746" t="s">
        <v>7</v>
      </c>
      <c r="D1746" t="s">
        <v>1</v>
      </c>
      <c r="E1746" t="s">
        <v>21</v>
      </c>
      <c r="F1746" t="s">
        <v>23</v>
      </c>
    </row>
    <row r="1747" spans="1:6" x14ac:dyDescent="0.3">
      <c r="A1747">
        <v>1746</v>
      </c>
      <c r="B1747" t="s">
        <v>16</v>
      </c>
      <c r="C1747" t="s">
        <v>7</v>
      </c>
      <c r="D1747" t="s">
        <v>1</v>
      </c>
      <c r="E1747" t="s">
        <v>15</v>
      </c>
      <c r="F1747" t="s">
        <v>23</v>
      </c>
    </row>
    <row r="1748" spans="1:6" x14ac:dyDescent="0.3">
      <c r="A1748">
        <v>1747</v>
      </c>
      <c r="B1748" t="s">
        <v>25</v>
      </c>
      <c r="C1748" t="s">
        <v>7</v>
      </c>
      <c r="D1748" t="s">
        <v>22</v>
      </c>
      <c r="E1748" t="s">
        <v>9</v>
      </c>
      <c r="F1748" t="s">
        <v>23</v>
      </c>
    </row>
    <row r="1749" spans="1:6" x14ac:dyDescent="0.3">
      <c r="A1749">
        <v>1748</v>
      </c>
      <c r="B1749" t="s">
        <v>11</v>
      </c>
      <c r="C1749" t="s">
        <v>7</v>
      </c>
      <c r="D1749" t="s">
        <v>1</v>
      </c>
      <c r="E1749" t="s">
        <v>9</v>
      </c>
      <c r="F1749" t="s">
        <v>13</v>
      </c>
    </row>
    <row r="1750" spans="1:6" x14ac:dyDescent="0.3">
      <c r="A1750">
        <v>1749</v>
      </c>
      <c r="B1750" t="s">
        <v>18</v>
      </c>
      <c r="C1750" t="s">
        <v>7</v>
      </c>
      <c r="D1750" t="s">
        <v>22</v>
      </c>
      <c r="E1750" t="s">
        <v>21</v>
      </c>
      <c r="F1750" t="s">
        <v>20</v>
      </c>
    </row>
    <row r="1751" spans="1:6" x14ac:dyDescent="0.3">
      <c r="A1751">
        <v>1750</v>
      </c>
      <c r="B1751" t="s">
        <v>14</v>
      </c>
      <c r="C1751" t="s">
        <v>7</v>
      </c>
      <c r="D1751" t="s">
        <v>1</v>
      </c>
      <c r="E1751" t="s">
        <v>15</v>
      </c>
      <c r="F1751" t="s">
        <v>23</v>
      </c>
    </row>
    <row r="1752" spans="1:6" x14ac:dyDescent="0.3">
      <c r="A1752">
        <v>1751</v>
      </c>
      <c r="B1752" t="s">
        <v>6</v>
      </c>
      <c r="C1752" t="s">
        <v>7</v>
      </c>
      <c r="D1752" t="s">
        <v>8</v>
      </c>
      <c r="E1752" t="s">
        <v>9</v>
      </c>
      <c r="F1752" t="s">
        <v>13</v>
      </c>
    </row>
    <row r="1753" spans="1:6" x14ac:dyDescent="0.3">
      <c r="A1753">
        <v>1752</v>
      </c>
      <c r="B1753" t="s">
        <v>11</v>
      </c>
      <c r="C1753" t="s">
        <v>24</v>
      </c>
      <c r="D1753" t="s">
        <v>8</v>
      </c>
      <c r="E1753" t="s">
        <v>9</v>
      </c>
      <c r="F1753" t="s">
        <v>23</v>
      </c>
    </row>
    <row r="1754" spans="1:6" x14ac:dyDescent="0.3">
      <c r="A1754">
        <v>1753</v>
      </c>
      <c r="B1754" t="s">
        <v>25</v>
      </c>
      <c r="C1754" t="s">
        <v>7</v>
      </c>
      <c r="D1754" t="s">
        <v>8</v>
      </c>
      <c r="E1754" t="s">
        <v>21</v>
      </c>
      <c r="F1754" t="s">
        <v>23</v>
      </c>
    </row>
    <row r="1755" spans="1:6" x14ac:dyDescent="0.3">
      <c r="A1755">
        <v>1754</v>
      </c>
      <c r="B1755" t="s">
        <v>11</v>
      </c>
      <c r="C1755" t="s">
        <v>12</v>
      </c>
      <c r="D1755" t="s">
        <v>8</v>
      </c>
      <c r="E1755" t="s">
        <v>9</v>
      </c>
      <c r="F1755" t="s">
        <v>23</v>
      </c>
    </row>
    <row r="1756" spans="1:6" x14ac:dyDescent="0.3">
      <c r="A1756">
        <v>1755</v>
      </c>
      <c r="B1756" t="s">
        <v>6</v>
      </c>
      <c r="C1756" t="s">
        <v>12</v>
      </c>
      <c r="D1756" t="s">
        <v>22</v>
      </c>
      <c r="E1756" t="s">
        <v>21</v>
      </c>
      <c r="F1756" t="s">
        <v>23</v>
      </c>
    </row>
    <row r="1757" spans="1:6" x14ac:dyDescent="0.3">
      <c r="A1757">
        <v>1756</v>
      </c>
      <c r="B1757" t="s">
        <v>18</v>
      </c>
      <c r="C1757" t="s">
        <v>12</v>
      </c>
      <c r="D1757" t="s">
        <v>8</v>
      </c>
      <c r="E1757" t="s">
        <v>9</v>
      </c>
      <c r="F1757" t="s">
        <v>23</v>
      </c>
    </row>
    <row r="1758" spans="1:6" x14ac:dyDescent="0.3">
      <c r="A1758">
        <v>1757</v>
      </c>
      <c r="B1758" t="s">
        <v>16</v>
      </c>
      <c r="C1758" t="s">
        <v>7</v>
      </c>
      <c r="D1758" t="s">
        <v>1</v>
      </c>
      <c r="E1758" t="s">
        <v>9</v>
      </c>
      <c r="F1758" t="s">
        <v>13</v>
      </c>
    </row>
    <row r="1759" spans="1:6" x14ac:dyDescent="0.3">
      <c r="A1759">
        <v>1758</v>
      </c>
      <c r="B1759" t="s">
        <v>6</v>
      </c>
      <c r="C1759" t="s">
        <v>24</v>
      </c>
      <c r="D1759" t="s">
        <v>1</v>
      </c>
      <c r="E1759" t="s">
        <v>9</v>
      </c>
      <c r="F1759" t="s">
        <v>23</v>
      </c>
    </row>
    <row r="1760" spans="1:6" x14ac:dyDescent="0.3">
      <c r="A1760">
        <v>1759</v>
      </c>
      <c r="B1760" t="s">
        <v>11</v>
      </c>
      <c r="C1760" t="s">
        <v>7</v>
      </c>
      <c r="D1760" t="s">
        <v>22</v>
      </c>
      <c r="E1760" t="s">
        <v>9</v>
      </c>
      <c r="F1760" t="s">
        <v>23</v>
      </c>
    </row>
    <row r="1761" spans="1:6" x14ac:dyDescent="0.3">
      <c r="A1761">
        <v>1760</v>
      </c>
      <c r="B1761" t="s">
        <v>11</v>
      </c>
      <c r="C1761" t="s">
        <v>12</v>
      </c>
      <c r="D1761" t="s">
        <v>22</v>
      </c>
      <c r="E1761" t="s">
        <v>21</v>
      </c>
      <c r="F1761" t="s">
        <v>20</v>
      </c>
    </row>
    <row r="1762" spans="1:6" x14ac:dyDescent="0.3">
      <c r="A1762">
        <v>1761</v>
      </c>
      <c r="B1762" t="s">
        <v>16</v>
      </c>
      <c r="C1762" t="s">
        <v>7</v>
      </c>
      <c r="D1762" t="s">
        <v>22</v>
      </c>
      <c r="E1762" t="s">
        <v>21</v>
      </c>
      <c r="F1762" t="s">
        <v>23</v>
      </c>
    </row>
    <row r="1763" spans="1:6" x14ac:dyDescent="0.3">
      <c r="A1763">
        <v>1762</v>
      </c>
      <c r="B1763" t="s">
        <v>14</v>
      </c>
      <c r="C1763" t="s">
        <v>7</v>
      </c>
      <c r="D1763" t="s">
        <v>22</v>
      </c>
      <c r="E1763" t="s">
        <v>21</v>
      </c>
      <c r="F1763" t="s">
        <v>23</v>
      </c>
    </row>
    <row r="1764" spans="1:6" x14ac:dyDescent="0.3">
      <c r="A1764">
        <v>1763</v>
      </c>
      <c r="B1764" t="s">
        <v>14</v>
      </c>
      <c r="C1764" t="s">
        <v>7</v>
      </c>
      <c r="D1764" t="s">
        <v>1</v>
      </c>
      <c r="E1764" t="s">
        <v>9</v>
      </c>
      <c r="F1764" t="s">
        <v>23</v>
      </c>
    </row>
    <row r="1765" spans="1:6" x14ac:dyDescent="0.3">
      <c r="A1765">
        <v>1764</v>
      </c>
      <c r="B1765" t="s">
        <v>11</v>
      </c>
      <c r="C1765" t="s">
        <v>7</v>
      </c>
      <c r="D1765" t="s">
        <v>22</v>
      </c>
      <c r="E1765" t="s">
        <v>21</v>
      </c>
      <c r="F1765" t="s">
        <v>23</v>
      </c>
    </row>
    <row r="1766" spans="1:6" x14ac:dyDescent="0.3">
      <c r="A1766">
        <v>1765</v>
      </c>
      <c r="B1766" t="s">
        <v>25</v>
      </c>
      <c r="C1766" t="s">
        <v>7</v>
      </c>
      <c r="D1766" t="s">
        <v>8</v>
      </c>
      <c r="E1766" t="s">
        <v>9</v>
      </c>
      <c r="F1766" t="s">
        <v>13</v>
      </c>
    </row>
    <row r="1767" spans="1:6" x14ac:dyDescent="0.3">
      <c r="A1767">
        <v>1766</v>
      </c>
      <c r="B1767" t="s">
        <v>16</v>
      </c>
      <c r="C1767" t="s">
        <v>7</v>
      </c>
      <c r="D1767" t="s">
        <v>1</v>
      </c>
      <c r="E1767" t="s">
        <v>9</v>
      </c>
      <c r="F1767" t="s">
        <v>23</v>
      </c>
    </row>
    <row r="1768" spans="1:6" x14ac:dyDescent="0.3">
      <c r="A1768">
        <v>1767</v>
      </c>
      <c r="B1768" t="s">
        <v>16</v>
      </c>
      <c r="C1768" t="s">
        <v>12</v>
      </c>
      <c r="D1768" t="s">
        <v>1</v>
      </c>
      <c r="E1768" t="s">
        <v>9</v>
      </c>
      <c r="F1768" t="s">
        <v>10</v>
      </c>
    </row>
    <row r="1769" spans="1:6" x14ac:dyDescent="0.3">
      <c r="A1769">
        <v>1768</v>
      </c>
      <c r="B1769" t="s">
        <v>6</v>
      </c>
      <c r="C1769" t="s">
        <v>7</v>
      </c>
      <c r="D1769" t="s">
        <v>1</v>
      </c>
      <c r="E1769" t="s">
        <v>9</v>
      </c>
      <c r="F1769" t="s">
        <v>23</v>
      </c>
    </row>
    <row r="1770" spans="1:6" x14ac:dyDescent="0.3">
      <c r="A1770">
        <v>1769</v>
      </c>
      <c r="B1770" t="s">
        <v>11</v>
      </c>
      <c r="C1770" t="s">
        <v>7</v>
      </c>
      <c r="D1770" t="s">
        <v>22</v>
      </c>
      <c r="E1770" t="s">
        <v>21</v>
      </c>
      <c r="F1770" t="s">
        <v>13</v>
      </c>
    </row>
    <row r="1771" spans="1:6" x14ac:dyDescent="0.3">
      <c r="A1771">
        <v>1770</v>
      </c>
      <c r="B1771" t="s">
        <v>14</v>
      </c>
      <c r="C1771" t="s">
        <v>7</v>
      </c>
      <c r="D1771" t="s">
        <v>22</v>
      </c>
      <c r="E1771" t="s">
        <v>21</v>
      </c>
      <c r="F1771" t="s">
        <v>13</v>
      </c>
    </row>
    <row r="1772" spans="1:6" x14ac:dyDescent="0.3">
      <c r="A1772">
        <v>1771</v>
      </c>
      <c r="B1772" t="s">
        <v>6</v>
      </c>
      <c r="C1772" t="s">
        <v>12</v>
      </c>
      <c r="D1772" t="s">
        <v>1</v>
      </c>
      <c r="E1772" t="s">
        <v>21</v>
      </c>
      <c r="F1772" t="s">
        <v>23</v>
      </c>
    </row>
    <row r="1773" spans="1:6" x14ac:dyDescent="0.3">
      <c r="A1773">
        <v>1772</v>
      </c>
      <c r="B1773" t="s">
        <v>6</v>
      </c>
      <c r="C1773" t="s">
        <v>12</v>
      </c>
      <c r="D1773" t="s">
        <v>8</v>
      </c>
      <c r="E1773" t="s">
        <v>19</v>
      </c>
      <c r="F1773" t="s">
        <v>10</v>
      </c>
    </row>
    <row r="1774" spans="1:6" x14ac:dyDescent="0.3">
      <c r="A1774">
        <v>1773</v>
      </c>
      <c r="B1774" t="s">
        <v>25</v>
      </c>
      <c r="C1774" t="s">
        <v>7</v>
      </c>
      <c r="D1774" t="s">
        <v>8</v>
      </c>
      <c r="E1774" t="s">
        <v>9</v>
      </c>
      <c r="F1774" t="s">
        <v>20</v>
      </c>
    </row>
    <row r="1775" spans="1:6" x14ac:dyDescent="0.3">
      <c r="A1775">
        <v>1774</v>
      </c>
      <c r="B1775" t="s">
        <v>18</v>
      </c>
      <c r="C1775" t="s">
        <v>7</v>
      </c>
      <c r="D1775" t="s">
        <v>8</v>
      </c>
      <c r="E1775" t="s">
        <v>9</v>
      </c>
      <c r="F1775" t="s">
        <v>10</v>
      </c>
    </row>
    <row r="1776" spans="1:6" x14ac:dyDescent="0.3">
      <c r="A1776">
        <v>1775</v>
      </c>
      <c r="B1776" t="s">
        <v>16</v>
      </c>
      <c r="C1776" t="s">
        <v>12</v>
      </c>
      <c r="D1776" t="s">
        <v>8</v>
      </c>
      <c r="E1776" t="s">
        <v>9</v>
      </c>
      <c r="F1776" t="s">
        <v>10</v>
      </c>
    </row>
    <row r="1777" spans="1:6" x14ac:dyDescent="0.3">
      <c r="A1777">
        <v>1776</v>
      </c>
      <c r="B1777" t="s">
        <v>6</v>
      </c>
      <c r="C1777" t="s">
        <v>24</v>
      </c>
      <c r="D1777" t="s">
        <v>1</v>
      </c>
      <c r="E1777" t="s">
        <v>9</v>
      </c>
      <c r="F1777" t="s">
        <v>20</v>
      </c>
    </row>
    <row r="1778" spans="1:6" x14ac:dyDescent="0.3">
      <c r="A1778">
        <v>1777</v>
      </c>
      <c r="B1778" t="s">
        <v>25</v>
      </c>
      <c r="C1778" t="s">
        <v>12</v>
      </c>
      <c r="D1778" t="s">
        <v>8</v>
      </c>
      <c r="E1778" t="s">
        <v>19</v>
      </c>
      <c r="F1778" t="s">
        <v>10</v>
      </c>
    </row>
    <row r="1779" spans="1:6" x14ac:dyDescent="0.3">
      <c r="A1779">
        <v>1778</v>
      </c>
      <c r="B1779" t="s">
        <v>16</v>
      </c>
      <c r="C1779" t="s">
        <v>12</v>
      </c>
      <c r="D1779" t="s">
        <v>1</v>
      </c>
      <c r="E1779" t="s">
        <v>9</v>
      </c>
      <c r="F1779" t="s">
        <v>10</v>
      </c>
    </row>
    <row r="1780" spans="1:6" x14ac:dyDescent="0.3">
      <c r="A1780">
        <v>1779</v>
      </c>
      <c r="B1780" t="s">
        <v>18</v>
      </c>
      <c r="C1780" t="s">
        <v>7</v>
      </c>
      <c r="D1780" t="s">
        <v>22</v>
      </c>
      <c r="E1780" t="s">
        <v>21</v>
      </c>
      <c r="F1780" t="s">
        <v>13</v>
      </c>
    </row>
    <row r="1781" spans="1:6" x14ac:dyDescent="0.3">
      <c r="A1781">
        <v>1780</v>
      </c>
      <c r="B1781" t="s">
        <v>25</v>
      </c>
      <c r="C1781" t="s">
        <v>24</v>
      </c>
      <c r="D1781" t="s">
        <v>8</v>
      </c>
      <c r="E1781" t="s">
        <v>15</v>
      </c>
      <c r="F1781" t="s">
        <v>20</v>
      </c>
    </row>
    <row r="1782" spans="1:6" x14ac:dyDescent="0.3">
      <c r="A1782">
        <v>1781</v>
      </c>
      <c r="B1782" t="s">
        <v>6</v>
      </c>
      <c r="C1782" t="s">
        <v>7</v>
      </c>
      <c r="D1782" t="s">
        <v>1</v>
      </c>
      <c r="E1782" t="s">
        <v>15</v>
      </c>
      <c r="F1782" t="s">
        <v>23</v>
      </c>
    </row>
    <row r="1783" spans="1:6" x14ac:dyDescent="0.3">
      <c r="A1783">
        <v>1782</v>
      </c>
      <c r="B1783" t="s">
        <v>25</v>
      </c>
      <c r="C1783" t="s">
        <v>24</v>
      </c>
      <c r="D1783" t="s">
        <v>8</v>
      </c>
      <c r="E1783" t="s">
        <v>26</v>
      </c>
      <c r="F1783" t="s">
        <v>10</v>
      </c>
    </row>
    <row r="1784" spans="1:6" x14ac:dyDescent="0.3">
      <c r="A1784">
        <v>1783</v>
      </c>
      <c r="B1784" t="s">
        <v>14</v>
      </c>
      <c r="C1784" t="s">
        <v>12</v>
      </c>
      <c r="D1784" t="s">
        <v>1</v>
      </c>
      <c r="E1784" t="s">
        <v>21</v>
      </c>
      <c r="F1784" t="s">
        <v>23</v>
      </c>
    </row>
    <row r="1785" spans="1:6" x14ac:dyDescent="0.3">
      <c r="A1785">
        <v>1784</v>
      </c>
      <c r="B1785" t="s">
        <v>25</v>
      </c>
      <c r="C1785" t="s">
        <v>12</v>
      </c>
      <c r="D1785" t="s">
        <v>22</v>
      </c>
      <c r="E1785" t="s">
        <v>21</v>
      </c>
      <c r="F1785" t="s">
        <v>23</v>
      </c>
    </row>
    <row r="1786" spans="1:6" x14ac:dyDescent="0.3">
      <c r="A1786">
        <v>1785</v>
      </c>
      <c r="B1786" t="s">
        <v>16</v>
      </c>
      <c r="C1786" t="s">
        <v>7</v>
      </c>
      <c r="D1786" t="s">
        <v>22</v>
      </c>
      <c r="E1786" t="s">
        <v>21</v>
      </c>
      <c r="F1786" t="s">
        <v>23</v>
      </c>
    </row>
    <row r="1787" spans="1:6" x14ac:dyDescent="0.3">
      <c r="A1787">
        <v>1786</v>
      </c>
      <c r="B1787" t="s">
        <v>16</v>
      </c>
      <c r="C1787" t="s">
        <v>12</v>
      </c>
      <c r="D1787" t="s">
        <v>1</v>
      </c>
      <c r="E1787" t="s">
        <v>21</v>
      </c>
      <c r="F1787" t="s">
        <v>23</v>
      </c>
    </row>
    <row r="1788" spans="1:6" x14ac:dyDescent="0.3">
      <c r="A1788">
        <v>1787</v>
      </c>
      <c r="B1788" t="s">
        <v>6</v>
      </c>
      <c r="C1788" t="s">
        <v>7</v>
      </c>
      <c r="D1788" t="s">
        <v>1</v>
      </c>
      <c r="E1788" t="s">
        <v>9</v>
      </c>
      <c r="F1788" t="s">
        <v>20</v>
      </c>
    </row>
    <row r="1789" spans="1:6" x14ac:dyDescent="0.3">
      <c r="A1789">
        <v>1788</v>
      </c>
      <c r="B1789" t="s">
        <v>14</v>
      </c>
      <c r="C1789" t="s">
        <v>7</v>
      </c>
      <c r="D1789" t="s">
        <v>22</v>
      </c>
      <c r="E1789" t="s">
        <v>21</v>
      </c>
      <c r="F1789" t="s">
        <v>13</v>
      </c>
    </row>
    <row r="1790" spans="1:6" x14ac:dyDescent="0.3">
      <c r="A1790">
        <v>1789</v>
      </c>
      <c r="B1790" t="s">
        <v>6</v>
      </c>
      <c r="C1790" t="s">
        <v>7</v>
      </c>
      <c r="D1790" t="s">
        <v>1</v>
      </c>
      <c r="E1790" t="s">
        <v>9</v>
      </c>
      <c r="F1790" t="s">
        <v>10</v>
      </c>
    </row>
    <row r="1791" spans="1:6" x14ac:dyDescent="0.3">
      <c r="A1791">
        <v>1790</v>
      </c>
      <c r="B1791" t="s">
        <v>16</v>
      </c>
      <c r="C1791" t="s">
        <v>7</v>
      </c>
      <c r="D1791" t="s">
        <v>1</v>
      </c>
      <c r="E1791" t="s">
        <v>21</v>
      </c>
      <c r="F1791" t="s">
        <v>10</v>
      </c>
    </row>
    <row r="1792" spans="1:6" x14ac:dyDescent="0.3">
      <c r="A1792">
        <v>1791</v>
      </c>
      <c r="B1792" t="s">
        <v>14</v>
      </c>
      <c r="C1792" t="s">
        <v>7</v>
      </c>
      <c r="D1792" t="s">
        <v>1</v>
      </c>
      <c r="E1792" t="s">
        <v>15</v>
      </c>
      <c r="F1792" t="s">
        <v>23</v>
      </c>
    </row>
    <row r="1793" spans="1:6" x14ac:dyDescent="0.3">
      <c r="A1793">
        <v>1792</v>
      </c>
      <c r="B1793" t="s">
        <v>14</v>
      </c>
      <c r="C1793" t="s">
        <v>7</v>
      </c>
      <c r="D1793" t="s">
        <v>1</v>
      </c>
      <c r="E1793" t="s">
        <v>21</v>
      </c>
      <c r="F1793" t="s">
        <v>13</v>
      </c>
    </row>
    <row r="1794" spans="1:6" x14ac:dyDescent="0.3">
      <c r="A1794">
        <v>1793</v>
      </c>
      <c r="B1794" t="s">
        <v>14</v>
      </c>
      <c r="C1794" t="s">
        <v>7</v>
      </c>
      <c r="D1794" t="s">
        <v>1</v>
      </c>
      <c r="E1794" t="s">
        <v>9</v>
      </c>
      <c r="F1794" t="s">
        <v>13</v>
      </c>
    </row>
    <row r="1795" spans="1:6" x14ac:dyDescent="0.3">
      <c r="A1795">
        <v>1794</v>
      </c>
      <c r="B1795" t="s">
        <v>16</v>
      </c>
      <c r="C1795" t="s">
        <v>7</v>
      </c>
      <c r="D1795" t="s">
        <v>8</v>
      </c>
      <c r="E1795" t="s">
        <v>15</v>
      </c>
      <c r="F1795" t="s">
        <v>20</v>
      </c>
    </row>
    <row r="1796" spans="1:6" x14ac:dyDescent="0.3">
      <c r="A1796">
        <v>1795</v>
      </c>
      <c r="B1796" t="s">
        <v>18</v>
      </c>
      <c r="C1796" t="s">
        <v>7</v>
      </c>
      <c r="D1796" t="s">
        <v>22</v>
      </c>
      <c r="E1796" t="s">
        <v>21</v>
      </c>
      <c r="F1796" t="s">
        <v>13</v>
      </c>
    </row>
    <row r="1797" spans="1:6" x14ac:dyDescent="0.3">
      <c r="A1797">
        <v>1796</v>
      </c>
      <c r="B1797" t="s">
        <v>6</v>
      </c>
      <c r="C1797" t="s">
        <v>12</v>
      </c>
      <c r="D1797" t="s">
        <v>8</v>
      </c>
      <c r="E1797" t="s">
        <v>9</v>
      </c>
      <c r="F1797" t="s">
        <v>13</v>
      </c>
    </row>
    <row r="1798" spans="1:6" x14ac:dyDescent="0.3">
      <c r="A1798">
        <v>1797</v>
      </c>
      <c r="B1798" t="s">
        <v>16</v>
      </c>
      <c r="C1798" t="s">
        <v>7</v>
      </c>
      <c r="D1798" t="s">
        <v>22</v>
      </c>
      <c r="E1798" t="s">
        <v>9</v>
      </c>
      <c r="F1798" t="s">
        <v>23</v>
      </c>
    </row>
    <row r="1799" spans="1:6" x14ac:dyDescent="0.3">
      <c r="A1799">
        <v>1798</v>
      </c>
      <c r="B1799" t="s">
        <v>11</v>
      </c>
      <c r="C1799" t="s">
        <v>7</v>
      </c>
      <c r="D1799" t="s">
        <v>1</v>
      </c>
      <c r="E1799" t="s">
        <v>15</v>
      </c>
      <c r="F1799" t="s">
        <v>13</v>
      </c>
    </row>
    <row r="1800" spans="1:6" x14ac:dyDescent="0.3">
      <c r="A1800">
        <v>1799</v>
      </c>
      <c r="B1800" t="s">
        <v>6</v>
      </c>
      <c r="C1800" t="s">
        <v>24</v>
      </c>
      <c r="D1800" t="s">
        <v>1</v>
      </c>
      <c r="E1800" t="s">
        <v>26</v>
      </c>
      <c r="F1800" t="s">
        <v>10</v>
      </c>
    </row>
    <row r="1801" spans="1:6" x14ac:dyDescent="0.3">
      <c r="A1801">
        <v>1800</v>
      </c>
      <c r="B1801" t="s">
        <v>11</v>
      </c>
      <c r="C1801" t="s">
        <v>12</v>
      </c>
      <c r="D1801" t="s">
        <v>1</v>
      </c>
      <c r="E1801" t="s">
        <v>21</v>
      </c>
      <c r="F1801" t="s">
        <v>13</v>
      </c>
    </row>
    <row r="1802" spans="1:6" x14ac:dyDescent="0.3">
      <c r="A1802">
        <v>1801</v>
      </c>
      <c r="B1802" t="s">
        <v>14</v>
      </c>
      <c r="C1802" t="s">
        <v>7</v>
      </c>
      <c r="D1802" t="s">
        <v>22</v>
      </c>
      <c r="E1802" t="s">
        <v>15</v>
      </c>
      <c r="F1802" t="s">
        <v>23</v>
      </c>
    </row>
    <row r="1803" spans="1:6" x14ac:dyDescent="0.3">
      <c r="A1803">
        <v>1802</v>
      </c>
      <c r="B1803" t="s">
        <v>11</v>
      </c>
      <c r="C1803" t="s">
        <v>24</v>
      </c>
      <c r="D1803" t="s">
        <v>8</v>
      </c>
      <c r="E1803" t="s">
        <v>26</v>
      </c>
      <c r="F1803" t="s">
        <v>10</v>
      </c>
    </row>
    <row r="1804" spans="1:6" x14ac:dyDescent="0.3">
      <c r="A1804">
        <v>1803</v>
      </c>
      <c r="B1804" t="s">
        <v>6</v>
      </c>
      <c r="C1804" t="s">
        <v>12</v>
      </c>
      <c r="D1804" t="s">
        <v>1</v>
      </c>
      <c r="E1804" t="s">
        <v>15</v>
      </c>
      <c r="F1804" t="s">
        <v>23</v>
      </c>
    </row>
    <row r="1805" spans="1:6" x14ac:dyDescent="0.3">
      <c r="A1805">
        <v>1804</v>
      </c>
      <c r="B1805" t="s">
        <v>16</v>
      </c>
      <c r="C1805" t="s">
        <v>12</v>
      </c>
      <c r="D1805" t="s">
        <v>1</v>
      </c>
      <c r="E1805" t="s">
        <v>15</v>
      </c>
      <c r="F1805" t="s">
        <v>23</v>
      </c>
    </row>
    <row r="1806" spans="1:6" x14ac:dyDescent="0.3">
      <c r="A1806">
        <v>1805</v>
      </c>
      <c r="B1806" t="s">
        <v>11</v>
      </c>
      <c r="C1806" t="s">
        <v>7</v>
      </c>
      <c r="D1806" t="s">
        <v>1</v>
      </c>
      <c r="E1806" t="s">
        <v>15</v>
      </c>
      <c r="F1806" t="s">
        <v>13</v>
      </c>
    </row>
    <row r="1807" spans="1:6" x14ac:dyDescent="0.3">
      <c r="A1807">
        <v>1806</v>
      </c>
      <c r="B1807" t="s">
        <v>11</v>
      </c>
      <c r="C1807" t="s">
        <v>24</v>
      </c>
      <c r="D1807" t="s">
        <v>22</v>
      </c>
      <c r="E1807" t="s">
        <v>26</v>
      </c>
      <c r="F1807" t="s">
        <v>10</v>
      </c>
    </row>
    <row r="1808" spans="1:6" x14ac:dyDescent="0.3">
      <c r="A1808">
        <v>1807</v>
      </c>
      <c r="B1808" t="s">
        <v>6</v>
      </c>
      <c r="C1808" t="s">
        <v>7</v>
      </c>
      <c r="D1808" t="s">
        <v>8</v>
      </c>
      <c r="E1808" t="s">
        <v>21</v>
      </c>
      <c r="F1808" t="s">
        <v>13</v>
      </c>
    </row>
    <row r="1809" spans="1:6" x14ac:dyDescent="0.3">
      <c r="A1809">
        <v>1808</v>
      </c>
      <c r="B1809" t="s">
        <v>6</v>
      </c>
      <c r="C1809" t="s">
        <v>24</v>
      </c>
      <c r="D1809" t="s">
        <v>8</v>
      </c>
      <c r="E1809" t="s">
        <v>15</v>
      </c>
      <c r="F1809" t="s">
        <v>23</v>
      </c>
    </row>
    <row r="1810" spans="1:6" x14ac:dyDescent="0.3">
      <c r="A1810">
        <v>1809</v>
      </c>
      <c r="B1810" t="s">
        <v>6</v>
      </c>
      <c r="C1810" t="s">
        <v>7</v>
      </c>
      <c r="D1810" t="s">
        <v>8</v>
      </c>
      <c r="E1810" t="s">
        <v>9</v>
      </c>
      <c r="F1810" t="s">
        <v>20</v>
      </c>
    </row>
    <row r="1811" spans="1:6" x14ac:dyDescent="0.3">
      <c r="A1811">
        <v>1810</v>
      </c>
      <c r="B1811" t="s">
        <v>6</v>
      </c>
      <c r="C1811" t="s">
        <v>12</v>
      </c>
      <c r="D1811" t="s">
        <v>8</v>
      </c>
      <c r="E1811" t="s">
        <v>21</v>
      </c>
      <c r="F1811" t="s">
        <v>10</v>
      </c>
    </row>
    <row r="1812" spans="1:6" x14ac:dyDescent="0.3">
      <c r="A1812">
        <v>1811</v>
      </c>
      <c r="B1812" t="s">
        <v>18</v>
      </c>
      <c r="C1812" t="s">
        <v>7</v>
      </c>
      <c r="D1812" t="s">
        <v>1</v>
      </c>
      <c r="E1812" t="s">
        <v>21</v>
      </c>
      <c r="F1812" t="s">
        <v>13</v>
      </c>
    </row>
    <row r="1813" spans="1:6" x14ac:dyDescent="0.3">
      <c r="A1813">
        <v>1812</v>
      </c>
      <c r="B1813" t="s">
        <v>16</v>
      </c>
      <c r="C1813" t="s">
        <v>12</v>
      </c>
      <c r="D1813" t="s">
        <v>22</v>
      </c>
      <c r="E1813" t="s">
        <v>9</v>
      </c>
      <c r="F1813" t="s">
        <v>13</v>
      </c>
    </row>
    <row r="1814" spans="1:6" x14ac:dyDescent="0.3">
      <c r="A1814">
        <v>1813</v>
      </c>
      <c r="B1814" t="s">
        <v>18</v>
      </c>
      <c r="C1814" t="s">
        <v>12</v>
      </c>
      <c r="D1814" t="s">
        <v>1</v>
      </c>
      <c r="E1814" t="s">
        <v>19</v>
      </c>
      <c r="F1814" t="s">
        <v>20</v>
      </c>
    </row>
    <row r="1815" spans="1:6" x14ac:dyDescent="0.3">
      <c r="A1815">
        <v>1814</v>
      </c>
      <c r="B1815" t="s">
        <v>16</v>
      </c>
      <c r="C1815" t="s">
        <v>12</v>
      </c>
      <c r="D1815" t="s">
        <v>8</v>
      </c>
      <c r="E1815" t="s">
        <v>15</v>
      </c>
      <c r="F1815" t="s">
        <v>23</v>
      </c>
    </row>
    <row r="1816" spans="1:6" x14ac:dyDescent="0.3">
      <c r="A1816">
        <v>1815</v>
      </c>
      <c r="B1816" t="s">
        <v>6</v>
      </c>
      <c r="C1816" t="s">
        <v>12</v>
      </c>
      <c r="D1816" t="s">
        <v>8</v>
      </c>
      <c r="E1816" t="s">
        <v>9</v>
      </c>
      <c r="F1816" t="s">
        <v>20</v>
      </c>
    </row>
    <row r="1817" spans="1:6" x14ac:dyDescent="0.3">
      <c r="A1817">
        <v>1816</v>
      </c>
      <c r="B1817" t="s">
        <v>6</v>
      </c>
      <c r="C1817" t="s">
        <v>24</v>
      </c>
      <c r="D1817" t="s">
        <v>1</v>
      </c>
      <c r="E1817" t="s">
        <v>9</v>
      </c>
      <c r="F1817" t="s">
        <v>13</v>
      </c>
    </row>
    <row r="1818" spans="1:6" x14ac:dyDescent="0.3">
      <c r="A1818">
        <v>1817</v>
      </c>
      <c r="B1818" t="s">
        <v>6</v>
      </c>
      <c r="C1818" t="s">
        <v>12</v>
      </c>
      <c r="D1818" t="s">
        <v>8</v>
      </c>
      <c r="E1818" t="s">
        <v>19</v>
      </c>
      <c r="F1818" t="s">
        <v>10</v>
      </c>
    </row>
    <row r="1819" spans="1:6" x14ac:dyDescent="0.3">
      <c r="A1819">
        <v>1818</v>
      </c>
      <c r="B1819" t="s">
        <v>11</v>
      </c>
      <c r="C1819" t="s">
        <v>12</v>
      </c>
      <c r="D1819" t="s">
        <v>22</v>
      </c>
      <c r="E1819" t="s">
        <v>9</v>
      </c>
      <c r="F1819" t="s">
        <v>10</v>
      </c>
    </row>
    <row r="1820" spans="1:6" x14ac:dyDescent="0.3">
      <c r="A1820">
        <v>1819</v>
      </c>
      <c r="B1820" t="s">
        <v>25</v>
      </c>
      <c r="C1820" t="s">
        <v>7</v>
      </c>
      <c r="D1820" t="s">
        <v>1</v>
      </c>
      <c r="E1820" t="s">
        <v>21</v>
      </c>
      <c r="F1820" t="s">
        <v>13</v>
      </c>
    </row>
    <row r="1821" spans="1:6" x14ac:dyDescent="0.3">
      <c r="A1821">
        <v>1820</v>
      </c>
      <c r="B1821" t="s">
        <v>16</v>
      </c>
      <c r="C1821" t="s">
        <v>24</v>
      </c>
      <c r="D1821" t="s">
        <v>8</v>
      </c>
      <c r="E1821" t="s">
        <v>15</v>
      </c>
      <c r="F1821" t="s">
        <v>20</v>
      </c>
    </row>
    <row r="1822" spans="1:6" x14ac:dyDescent="0.3">
      <c r="A1822">
        <v>1821</v>
      </c>
      <c r="B1822" t="s">
        <v>25</v>
      </c>
      <c r="C1822" t="s">
        <v>12</v>
      </c>
      <c r="D1822" t="s">
        <v>8</v>
      </c>
      <c r="E1822" t="s">
        <v>15</v>
      </c>
      <c r="F1822" t="s">
        <v>20</v>
      </c>
    </row>
    <row r="1823" spans="1:6" x14ac:dyDescent="0.3">
      <c r="A1823">
        <v>1822</v>
      </c>
      <c r="B1823" t="s">
        <v>18</v>
      </c>
      <c r="C1823" t="s">
        <v>12</v>
      </c>
      <c r="D1823" t="s">
        <v>22</v>
      </c>
      <c r="E1823" t="s">
        <v>21</v>
      </c>
      <c r="F1823" t="s">
        <v>13</v>
      </c>
    </row>
    <row r="1824" spans="1:6" x14ac:dyDescent="0.3">
      <c r="A1824">
        <v>1823</v>
      </c>
      <c r="B1824" t="s">
        <v>16</v>
      </c>
      <c r="C1824" t="s">
        <v>7</v>
      </c>
      <c r="D1824" t="s">
        <v>1</v>
      </c>
      <c r="E1824" t="s">
        <v>9</v>
      </c>
      <c r="F1824" t="s">
        <v>13</v>
      </c>
    </row>
    <row r="1825" spans="1:6" x14ac:dyDescent="0.3">
      <c r="A1825">
        <v>1824</v>
      </c>
      <c r="B1825" t="s">
        <v>11</v>
      </c>
      <c r="C1825" t="s">
        <v>7</v>
      </c>
      <c r="D1825" t="s">
        <v>22</v>
      </c>
      <c r="E1825" t="s">
        <v>21</v>
      </c>
      <c r="F1825" t="s">
        <v>20</v>
      </c>
    </row>
    <row r="1826" spans="1:6" x14ac:dyDescent="0.3">
      <c r="A1826">
        <v>1825</v>
      </c>
      <c r="B1826" t="s">
        <v>14</v>
      </c>
      <c r="C1826" t="s">
        <v>7</v>
      </c>
      <c r="D1826" t="s">
        <v>22</v>
      </c>
      <c r="E1826" t="s">
        <v>21</v>
      </c>
      <c r="F1826" t="s">
        <v>20</v>
      </c>
    </row>
    <row r="1827" spans="1:6" x14ac:dyDescent="0.3">
      <c r="A1827">
        <v>1826</v>
      </c>
      <c r="B1827" t="s">
        <v>18</v>
      </c>
      <c r="C1827" t="s">
        <v>7</v>
      </c>
      <c r="D1827" t="s">
        <v>1</v>
      </c>
      <c r="E1827" t="s">
        <v>21</v>
      </c>
      <c r="F1827" t="s">
        <v>20</v>
      </c>
    </row>
    <row r="1828" spans="1:6" x14ac:dyDescent="0.3">
      <c r="A1828">
        <v>1827</v>
      </c>
      <c r="B1828" t="s">
        <v>25</v>
      </c>
      <c r="C1828" t="s">
        <v>12</v>
      </c>
      <c r="D1828" t="s">
        <v>1</v>
      </c>
      <c r="E1828" t="s">
        <v>15</v>
      </c>
      <c r="F1828" t="s">
        <v>20</v>
      </c>
    </row>
    <row r="1829" spans="1:6" x14ac:dyDescent="0.3">
      <c r="A1829">
        <v>1828</v>
      </c>
      <c r="B1829" t="s">
        <v>18</v>
      </c>
      <c r="C1829" t="s">
        <v>12</v>
      </c>
      <c r="D1829" t="s">
        <v>8</v>
      </c>
      <c r="E1829" t="s">
        <v>19</v>
      </c>
      <c r="F1829" t="s">
        <v>10</v>
      </c>
    </row>
    <row r="1830" spans="1:6" x14ac:dyDescent="0.3">
      <c r="A1830">
        <v>1829</v>
      </c>
      <c r="B1830" t="s">
        <v>18</v>
      </c>
      <c r="C1830" t="s">
        <v>12</v>
      </c>
      <c r="D1830" t="s">
        <v>8</v>
      </c>
      <c r="E1830" t="s">
        <v>9</v>
      </c>
      <c r="F1830" t="s">
        <v>23</v>
      </c>
    </row>
    <row r="1831" spans="1:6" x14ac:dyDescent="0.3">
      <c r="A1831">
        <v>1830</v>
      </c>
      <c r="B1831" t="s">
        <v>11</v>
      </c>
      <c r="C1831" t="s">
        <v>12</v>
      </c>
      <c r="D1831" t="s">
        <v>22</v>
      </c>
      <c r="E1831" t="s">
        <v>15</v>
      </c>
      <c r="F1831" t="s">
        <v>13</v>
      </c>
    </row>
    <row r="1832" spans="1:6" x14ac:dyDescent="0.3">
      <c r="A1832">
        <v>1831</v>
      </c>
      <c r="B1832" t="s">
        <v>18</v>
      </c>
      <c r="C1832" t="s">
        <v>24</v>
      </c>
      <c r="D1832" t="s">
        <v>8</v>
      </c>
      <c r="E1832" t="s">
        <v>9</v>
      </c>
      <c r="F1832" t="s">
        <v>20</v>
      </c>
    </row>
    <row r="1833" spans="1:6" x14ac:dyDescent="0.3">
      <c r="A1833">
        <v>1832</v>
      </c>
      <c r="B1833" t="s">
        <v>11</v>
      </c>
      <c r="C1833" t="s">
        <v>12</v>
      </c>
      <c r="D1833" t="s">
        <v>1</v>
      </c>
      <c r="E1833" t="s">
        <v>21</v>
      </c>
      <c r="F1833" t="s">
        <v>13</v>
      </c>
    </row>
    <row r="1834" spans="1:6" x14ac:dyDescent="0.3">
      <c r="A1834">
        <v>1833</v>
      </c>
      <c r="B1834" t="s">
        <v>11</v>
      </c>
      <c r="C1834" t="s">
        <v>7</v>
      </c>
      <c r="D1834" t="s">
        <v>1</v>
      </c>
      <c r="E1834" t="s">
        <v>21</v>
      </c>
      <c r="F1834" t="s">
        <v>10</v>
      </c>
    </row>
    <row r="1835" spans="1:6" x14ac:dyDescent="0.3">
      <c r="A1835">
        <v>1834</v>
      </c>
      <c r="B1835" t="s">
        <v>6</v>
      </c>
      <c r="C1835" t="s">
        <v>7</v>
      </c>
      <c r="D1835" t="s">
        <v>22</v>
      </c>
      <c r="E1835" t="s">
        <v>19</v>
      </c>
      <c r="F1835" t="s">
        <v>10</v>
      </c>
    </row>
    <row r="1836" spans="1:6" x14ac:dyDescent="0.3">
      <c r="A1836">
        <v>1835</v>
      </c>
      <c r="B1836" t="s">
        <v>14</v>
      </c>
      <c r="C1836" t="s">
        <v>7</v>
      </c>
      <c r="D1836" t="s">
        <v>8</v>
      </c>
      <c r="E1836" t="s">
        <v>21</v>
      </c>
      <c r="F1836" t="s">
        <v>10</v>
      </c>
    </row>
    <row r="1837" spans="1:6" x14ac:dyDescent="0.3">
      <c r="A1837">
        <v>1836</v>
      </c>
      <c r="B1837" t="s">
        <v>11</v>
      </c>
      <c r="C1837" t="s">
        <v>24</v>
      </c>
      <c r="D1837" t="s">
        <v>1</v>
      </c>
      <c r="E1837" t="s">
        <v>9</v>
      </c>
      <c r="F1837" t="s">
        <v>13</v>
      </c>
    </row>
    <row r="1838" spans="1:6" x14ac:dyDescent="0.3">
      <c r="A1838">
        <v>1837</v>
      </c>
      <c r="B1838" t="s">
        <v>6</v>
      </c>
      <c r="C1838" t="s">
        <v>7</v>
      </c>
      <c r="D1838" t="s">
        <v>8</v>
      </c>
      <c r="E1838" t="s">
        <v>9</v>
      </c>
      <c r="F1838" t="s">
        <v>23</v>
      </c>
    </row>
    <row r="1839" spans="1:6" x14ac:dyDescent="0.3">
      <c r="A1839">
        <v>1838</v>
      </c>
      <c r="B1839" t="s">
        <v>16</v>
      </c>
      <c r="C1839" t="s">
        <v>7</v>
      </c>
      <c r="D1839" t="s">
        <v>22</v>
      </c>
      <c r="E1839" t="s">
        <v>15</v>
      </c>
      <c r="F1839" t="s">
        <v>13</v>
      </c>
    </row>
    <row r="1840" spans="1:6" x14ac:dyDescent="0.3">
      <c r="A1840">
        <v>1839</v>
      </c>
      <c r="B1840" t="s">
        <v>14</v>
      </c>
      <c r="C1840" t="s">
        <v>12</v>
      </c>
      <c r="D1840" t="s">
        <v>8</v>
      </c>
      <c r="E1840" t="s">
        <v>21</v>
      </c>
      <c r="F1840" t="s">
        <v>23</v>
      </c>
    </row>
    <row r="1841" spans="1:6" x14ac:dyDescent="0.3">
      <c r="A1841">
        <v>1840</v>
      </c>
      <c r="B1841" t="s">
        <v>16</v>
      </c>
      <c r="C1841" t="s">
        <v>7</v>
      </c>
      <c r="D1841" t="s">
        <v>22</v>
      </c>
      <c r="E1841" t="s">
        <v>9</v>
      </c>
      <c r="F1841" t="s">
        <v>20</v>
      </c>
    </row>
    <row r="1842" spans="1:6" x14ac:dyDescent="0.3">
      <c r="A1842">
        <v>1841</v>
      </c>
      <c r="B1842" t="s">
        <v>16</v>
      </c>
      <c r="C1842" t="s">
        <v>7</v>
      </c>
      <c r="D1842" t="s">
        <v>1</v>
      </c>
      <c r="E1842" t="s">
        <v>15</v>
      </c>
      <c r="F1842" t="s">
        <v>23</v>
      </c>
    </row>
    <row r="1843" spans="1:6" x14ac:dyDescent="0.3">
      <c r="A1843">
        <v>1842</v>
      </c>
      <c r="B1843" t="s">
        <v>16</v>
      </c>
      <c r="C1843" t="s">
        <v>12</v>
      </c>
      <c r="D1843" t="s">
        <v>1</v>
      </c>
      <c r="E1843" t="s">
        <v>19</v>
      </c>
      <c r="F1843" t="s">
        <v>10</v>
      </c>
    </row>
    <row r="1844" spans="1:6" x14ac:dyDescent="0.3">
      <c r="A1844">
        <v>1843</v>
      </c>
      <c r="B1844" t="s">
        <v>11</v>
      </c>
      <c r="C1844" t="s">
        <v>24</v>
      </c>
      <c r="D1844" t="s">
        <v>8</v>
      </c>
      <c r="E1844" t="s">
        <v>9</v>
      </c>
      <c r="F1844" t="s">
        <v>13</v>
      </c>
    </row>
    <row r="1845" spans="1:6" x14ac:dyDescent="0.3">
      <c r="A1845">
        <v>1844</v>
      </c>
      <c r="B1845" t="s">
        <v>18</v>
      </c>
      <c r="C1845" t="s">
        <v>7</v>
      </c>
      <c r="D1845" t="s">
        <v>22</v>
      </c>
      <c r="E1845" t="s">
        <v>19</v>
      </c>
      <c r="F1845" t="s">
        <v>23</v>
      </c>
    </row>
    <row r="1846" spans="1:6" x14ac:dyDescent="0.3">
      <c r="A1846">
        <v>1845</v>
      </c>
      <c r="B1846" t="s">
        <v>6</v>
      </c>
      <c r="C1846" t="s">
        <v>24</v>
      </c>
      <c r="D1846" t="s">
        <v>1</v>
      </c>
      <c r="E1846" t="s">
        <v>9</v>
      </c>
      <c r="F1846" t="s">
        <v>23</v>
      </c>
    </row>
    <row r="1847" spans="1:6" x14ac:dyDescent="0.3">
      <c r="A1847">
        <v>1846</v>
      </c>
      <c r="B1847" t="s">
        <v>16</v>
      </c>
      <c r="C1847" t="s">
        <v>12</v>
      </c>
      <c r="D1847" t="s">
        <v>22</v>
      </c>
      <c r="E1847" t="s">
        <v>19</v>
      </c>
      <c r="F1847" t="s">
        <v>10</v>
      </c>
    </row>
    <row r="1848" spans="1:6" x14ac:dyDescent="0.3">
      <c r="A1848">
        <v>1847</v>
      </c>
      <c r="B1848" t="s">
        <v>6</v>
      </c>
      <c r="C1848" t="s">
        <v>12</v>
      </c>
      <c r="D1848" t="s">
        <v>1</v>
      </c>
      <c r="E1848" t="s">
        <v>9</v>
      </c>
      <c r="F1848" t="s">
        <v>13</v>
      </c>
    </row>
    <row r="1849" spans="1:6" x14ac:dyDescent="0.3">
      <c r="A1849">
        <v>1848</v>
      </c>
      <c r="B1849" t="s">
        <v>18</v>
      </c>
      <c r="C1849" t="s">
        <v>7</v>
      </c>
      <c r="D1849" t="s">
        <v>8</v>
      </c>
      <c r="E1849" t="s">
        <v>21</v>
      </c>
      <c r="F1849" t="s">
        <v>23</v>
      </c>
    </row>
    <row r="1850" spans="1:6" x14ac:dyDescent="0.3">
      <c r="A1850">
        <v>1849</v>
      </c>
      <c r="B1850" t="s">
        <v>16</v>
      </c>
      <c r="C1850" t="s">
        <v>7</v>
      </c>
      <c r="D1850" t="s">
        <v>22</v>
      </c>
      <c r="E1850" t="s">
        <v>9</v>
      </c>
      <c r="F1850" t="s">
        <v>20</v>
      </c>
    </row>
    <row r="1851" spans="1:6" x14ac:dyDescent="0.3">
      <c r="A1851">
        <v>1850</v>
      </c>
      <c r="B1851" t="s">
        <v>14</v>
      </c>
      <c r="C1851" t="s">
        <v>7</v>
      </c>
      <c r="D1851" t="s">
        <v>8</v>
      </c>
      <c r="E1851" t="s">
        <v>9</v>
      </c>
      <c r="F1851" t="s">
        <v>23</v>
      </c>
    </row>
    <row r="1852" spans="1:6" x14ac:dyDescent="0.3">
      <c r="A1852">
        <v>1851</v>
      </c>
      <c r="B1852" t="s">
        <v>16</v>
      </c>
      <c r="C1852" t="s">
        <v>7</v>
      </c>
      <c r="D1852" t="s">
        <v>22</v>
      </c>
      <c r="E1852" t="s">
        <v>9</v>
      </c>
      <c r="F1852" t="s">
        <v>23</v>
      </c>
    </row>
    <row r="1853" spans="1:6" x14ac:dyDescent="0.3">
      <c r="A1853">
        <v>1852</v>
      </c>
      <c r="B1853" t="s">
        <v>18</v>
      </c>
      <c r="C1853" t="s">
        <v>7</v>
      </c>
      <c r="D1853" t="s">
        <v>1</v>
      </c>
      <c r="E1853" t="s">
        <v>9</v>
      </c>
      <c r="F1853" t="s">
        <v>20</v>
      </c>
    </row>
    <row r="1854" spans="1:6" x14ac:dyDescent="0.3">
      <c r="A1854">
        <v>1853</v>
      </c>
      <c r="B1854" t="s">
        <v>18</v>
      </c>
      <c r="C1854" t="s">
        <v>12</v>
      </c>
      <c r="D1854" t="s">
        <v>8</v>
      </c>
      <c r="E1854" t="s">
        <v>19</v>
      </c>
      <c r="F1854" t="s">
        <v>13</v>
      </c>
    </row>
    <row r="1855" spans="1:6" x14ac:dyDescent="0.3">
      <c r="A1855">
        <v>1854</v>
      </c>
      <c r="B1855" t="s">
        <v>16</v>
      </c>
      <c r="C1855" t="s">
        <v>12</v>
      </c>
      <c r="D1855" t="s">
        <v>8</v>
      </c>
      <c r="E1855" t="s">
        <v>21</v>
      </c>
      <c r="F1855" t="s">
        <v>13</v>
      </c>
    </row>
    <row r="1856" spans="1:6" x14ac:dyDescent="0.3">
      <c r="A1856">
        <v>1855</v>
      </c>
      <c r="B1856" t="s">
        <v>18</v>
      </c>
      <c r="C1856" t="s">
        <v>7</v>
      </c>
      <c r="D1856" t="s">
        <v>8</v>
      </c>
      <c r="E1856" t="s">
        <v>19</v>
      </c>
      <c r="F1856" t="s">
        <v>20</v>
      </c>
    </row>
    <row r="1857" spans="1:6" x14ac:dyDescent="0.3">
      <c r="A1857">
        <v>1856</v>
      </c>
      <c r="B1857" t="s">
        <v>16</v>
      </c>
      <c r="C1857" t="s">
        <v>7</v>
      </c>
      <c r="D1857" t="s">
        <v>1</v>
      </c>
      <c r="E1857" t="s">
        <v>15</v>
      </c>
      <c r="F1857" t="s">
        <v>20</v>
      </c>
    </row>
    <row r="1858" spans="1:6" x14ac:dyDescent="0.3">
      <c r="A1858">
        <v>1857</v>
      </c>
      <c r="B1858" t="s">
        <v>16</v>
      </c>
      <c r="C1858" t="s">
        <v>24</v>
      </c>
      <c r="D1858" t="s">
        <v>22</v>
      </c>
      <c r="E1858" t="s">
        <v>9</v>
      </c>
      <c r="F1858" t="s">
        <v>23</v>
      </c>
    </row>
    <row r="1859" spans="1:6" x14ac:dyDescent="0.3">
      <c r="A1859">
        <v>1858</v>
      </c>
      <c r="B1859" t="s">
        <v>16</v>
      </c>
      <c r="C1859" t="s">
        <v>7</v>
      </c>
      <c r="D1859" t="s">
        <v>1</v>
      </c>
      <c r="E1859" t="s">
        <v>21</v>
      </c>
      <c r="F1859" t="s">
        <v>13</v>
      </c>
    </row>
    <row r="1860" spans="1:6" x14ac:dyDescent="0.3">
      <c r="A1860">
        <v>1859</v>
      </c>
      <c r="B1860" t="s">
        <v>18</v>
      </c>
      <c r="C1860" t="s">
        <v>12</v>
      </c>
      <c r="D1860" t="s">
        <v>1</v>
      </c>
      <c r="E1860" t="s">
        <v>19</v>
      </c>
      <c r="F1860" t="s">
        <v>13</v>
      </c>
    </row>
    <row r="1861" spans="1:6" x14ac:dyDescent="0.3">
      <c r="A1861">
        <v>1860</v>
      </c>
      <c r="B1861" t="s">
        <v>14</v>
      </c>
      <c r="C1861" t="s">
        <v>12</v>
      </c>
      <c r="D1861" t="s">
        <v>8</v>
      </c>
      <c r="E1861" t="s">
        <v>9</v>
      </c>
      <c r="F1861" t="s">
        <v>10</v>
      </c>
    </row>
    <row r="1862" spans="1:6" x14ac:dyDescent="0.3">
      <c r="A1862">
        <v>1861</v>
      </c>
      <c r="B1862" t="s">
        <v>16</v>
      </c>
      <c r="C1862" t="s">
        <v>12</v>
      </c>
      <c r="D1862" t="s">
        <v>22</v>
      </c>
      <c r="E1862" t="s">
        <v>9</v>
      </c>
      <c r="F1862" t="s">
        <v>10</v>
      </c>
    </row>
    <row r="1863" spans="1:6" x14ac:dyDescent="0.3">
      <c r="A1863">
        <v>1862</v>
      </c>
      <c r="B1863" t="s">
        <v>11</v>
      </c>
      <c r="C1863" t="s">
        <v>7</v>
      </c>
      <c r="D1863" t="s">
        <v>1</v>
      </c>
      <c r="E1863" t="s">
        <v>9</v>
      </c>
      <c r="F1863" t="s">
        <v>13</v>
      </c>
    </row>
    <row r="1864" spans="1:6" x14ac:dyDescent="0.3">
      <c r="A1864">
        <v>1863</v>
      </c>
      <c r="B1864" t="s">
        <v>25</v>
      </c>
      <c r="C1864" t="s">
        <v>12</v>
      </c>
      <c r="D1864" t="s">
        <v>8</v>
      </c>
      <c r="E1864" t="s">
        <v>19</v>
      </c>
      <c r="F1864" t="s">
        <v>10</v>
      </c>
    </row>
    <row r="1865" spans="1:6" x14ac:dyDescent="0.3">
      <c r="A1865">
        <v>1864</v>
      </c>
      <c r="B1865" t="s">
        <v>11</v>
      </c>
      <c r="C1865" t="s">
        <v>24</v>
      </c>
      <c r="D1865" t="s">
        <v>1</v>
      </c>
      <c r="E1865" t="s">
        <v>9</v>
      </c>
      <c r="F1865" t="s">
        <v>20</v>
      </c>
    </row>
    <row r="1866" spans="1:6" x14ac:dyDescent="0.3">
      <c r="A1866">
        <v>1865</v>
      </c>
      <c r="B1866" t="s">
        <v>11</v>
      </c>
      <c r="C1866" t="s">
        <v>7</v>
      </c>
      <c r="D1866" t="s">
        <v>22</v>
      </c>
      <c r="E1866" t="s">
        <v>21</v>
      </c>
      <c r="F1866" t="s">
        <v>23</v>
      </c>
    </row>
    <row r="1867" spans="1:6" x14ac:dyDescent="0.3">
      <c r="A1867">
        <v>1866</v>
      </c>
      <c r="B1867" t="s">
        <v>25</v>
      </c>
      <c r="C1867" t="s">
        <v>24</v>
      </c>
      <c r="D1867" t="s">
        <v>1</v>
      </c>
      <c r="E1867" t="s">
        <v>15</v>
      </c>
      <c r="F1867" t="s">
        <v>23</v>
      </c>
    </row>
    <row r="1868" spans="1:6" x14ac:dyDescent="0.3">
      <c r="A1868">
        <v>1867</v>
      </c>
      <c r="B1868" t="s">
        <v>14</v>
      </c>
      <c r="C1868" t="s">
        <v>7</v>
      </c>
      <c r="D1868" t="s">
        <v>22</v>
      </c>
      <c r="E1868" t="s">
        <v>21</v>
      </c>
      <c r="F1868" t="s">
        <v>20</v>
      </c>
    </row>
    <row r="1869" spans="1:6" x14ac:dyDescent="0.3">
      <c r="A1869">
        <v>1868</v>
      </c>
      <c r="B1869" t="s">
        <v>18</v>
      </c>
      <c r="C1869" t="s">
        <v>7</v>
      </c>
      <c r="D1869" t="s">
        <v>22</v>
      </c>
      <c r="E1869" t="s">
        <v>21</v>
      </c>
      <c r="F1869" t="s">
        <v>13</v>
      </c>
    </row>
    <row r="1870" spans="1:6" x14ac:dyDescent="0.3">
      <c r="A1870">
        <v>1869</v>
      </c>
      <c r="B1870" t="s">
        <v>11</v>
      </c>
      <c r="C1870" t="s">
        <v>7</v>
      </c>
      <c r="D1870" t="s">
        <v>22</v>
      </c>
      <c r="E1870" t="s">
        <v>21</v>
      </c>
      <c r="F1870" t="s">
        <v>20</v>
      </c>
    </row>
    <row r="1871" spans="1:6" x14ac:dyDescent="0.3">
      <c r="A1871">
        <v>1870</v>
      </c>
      <c r="B1871" t="s">
        <v>11</v>
      </c>
      <c r="C1871" t="s">
        <v>12</v>
      </c>
      <c r="D1871" t="s">
        <v>22</v>
      </c>
      <c r="E1871" t="s">
        <v>19</v>
      </c>
      <c r="F1871" t="s">
        <v>10</v>
      </c>
    </row>
    <row r="1872" spans="1:6" x14ac:dyDescent="0.3">
      <c r="A1872">
        <v>1871</v>
      </c>
      <c r="B1872" t="s">
        <v>6</v>
      </c>
      <c r="C1872" t="s">
        <v>7</v>
      </c>
      <c r="D1872" t="s">
        <v>1</v>
      </c>
      <c r="E1872" t="s">
        <v>9</v>
      </c>
      <c r="F1872" t="s">
        <v>20</v>
      </c>
    </row>
    <row r="1873" spans="1:6" x14ac:dyDescent="0.3">
      <c r="A1873">
        <v>1872</v>
      </c>
      <c r="B1873" t="s">
        <v>6</v>
      </c>
      <c r="C1873" t="s">
        <v>12</v>
      </c>
      <c r="D1873" t="s">
        <v>22</v>
      </c>
      <c r="E1873" t="s">
        <v>9</v>
      </c>
      <c r="F1873" t="s">
        <v>20</v>
      </c>
    </row>
    <row r="1874" spans="1:6" x14ac:dyDescent="0.3">
      <c r="A1874">
        <v>1873</v>
      </c>
      <c r="B1874" t="s">
        <v>14</v>
      </c>
      <c r="C1874" t="s">
        <v>12</v>
      </c>
      <c r="D1874" t="s">
        <v>8</v>
      </c>
      <c r="E1874" t="s">
        <v>19</v>
      </c>
      <c r="F1874" t="s">
        <v>10</v>
      </c>
    </row>
    <row r="1875" spans="1:6" x14ac:dyDescent="0.3">
      <c r="A1875">
        <v>1874</v>
      </c>
      <c r="B1875" t="s">
        <v>25</v>
      </c>
      <c r="C1875" t="s">
        <v>24</v>
      </c>
      <c r="D1875" t="s">
        <v>22</v>
      </c>
      <c r="E1875" t="s">
        <v>15</v>
      </c>
      <c r="F1875" t="s">
        <v>23</v>
      </c>
    </row>
    <row r="1876" spans="1:6" x14ac:dyDescent="0.3">
      <c r="A1876">
        <v>1875</v>
      </c>
      <c r="B1876" t="s">
        <v>25</v>
      </c>
      <c r="C1876" t="s">
        <v>12</v>
      </c>
      <c r="D1876" t="s">
        <v>1</v>
      </c>
      <c r="E1876" t="s">
        <v>9</v>
      </c>
      <c r="F1876" t="s">
        <v>13</v>
      </c>
    </row>
    <row r="1877" spans="1:6" x14ac:dyDescent="0.3">
      <c r="A1877">
        <v>1876</v>
      </c>
      <c r="B1877" t="s">
        <v>6</v>
      </c>
      <c r="C1877" t="s">
        <v>12</v>
      </c>
      <c r="D1877" t="s">
        <v>8</v>
      </c>
      <c r="E1877" t="s">
        <v>21</v>
      </c>
      <c r="F1877" t="s">
        <v>10</v>
      </c>
    </row>
    <row r="1878" spans="1:6" x14ac:dyDescent="0.3">
      <c r="A1878">
        <v>1877</v>
      </c>
      <c r="B1878" t="s">
        <v>25</v>
      </c>
      <c r="C1878" t="s">
        <v>7</v>
      </c>
      <c r="D1878" t="s">
        <v>1</v>
      </c>
      <c r="E1878" t="s">
        <v>9</v>
      </c>
      <c r="F1878" t="s">
        <v>23</v>
      </c>
    </row>
    <row r="1879" spans="1:6" x14ac:dyDescent="0.3">
      <c r="A1879">
        <v>1878</v>
      </c>
      <c r="B1879" t="s">
        <v>14</v>
      </c>
      <c r="C1879" t="s">
        <v>7</v>
      </c>
      <c r="D1879" t="s">
        <v>1</v>
      </c>
      <c r="E1879" t="s">
        <v>9</v>
      </c>
      <c r="F1879" t="s">
        <v>10</v>
      </c>
    </row>
    <row r="1880" spans="1:6" x14ac:dyDescent="0.3">
      <c r="A1880">
        <v>1879</v>
      </c>
      <c r="B1880" t="s">
        <v>14</v>
      </c>
      <c r="C1880" t="s">
        <v>12</v>
      </c>
      <c r="D1880" t="s">
        <v>8</v>
      </c>
      <c r="E1880" t="s">
        <v>21</v>
      </c>
      <c r="F1880" t="s">
        <v>10</v>
      </c>
    </row>
    <row r="1881" spans="1:6" x14ac:dyDescent="0.3">
      <c r="A1881">
        <v>1880</v>
      </c>
      <c r="B1881" t="s">
        <v>18</v>
      </c>
      <c r="C1881" t="s">
        <v>12</v>
      </c>
      <c r="D1881" t="s">
        <v>22</v>
      </c>
      <c r="E1881" t="s">
        <v>21</v>
      </c>
      <c r="F1881" t="s">
        <v>20</v>
      </c>
    </row>
    <row r="1882" spans="1:6" x14ac:dyDescent="0.3">
      <c r="A1882">
        <v>1881</v>
      </c>
      <c r="B1882" t="s">
        <v>14</v>
      </c>
      <c r="C1882" t="s">
        <v>24</v>
      </c>
      <c r="D1882" t="s">
        <v>1</v>
      </c>
      <c r="E1882" t="s">
        <v>15</v>
      </c>
      <c r="F1882" t="s">
        <v>23</v>
      </c>
    </row>
    <row r="1883" spans="1:6" x14ac:dyDescent="0.3">
      <c r="A1883">
        <v>1882</v>
      </c>
      <c r="B1883" t="s">
        <v>18</v>
      </c>
      <c r="C1883" t="s">
        <v>7</v>
      </c>
      <c r="D1883" t="s">
        <v>8</v>
      </c>
      <c r="E1883" t="s">
        <v>21</v>
      </c>
      <c r="F1883" t="s">
        <v>13</v>
      </c>
    </row>
    <row r="1884" spans="1:6" x14ac:dyDescent="0.3">
      <c r="A1884">
        <v>1883</v>
      </c>
      <c r="B1884" t="s">
        <v>11</v>
      </c>
      <c r="C1884" t="s">
        <v>12</v>
      </c>
      <c r="D1884" t="s">
        <v>1</v>
      </c>
      <c r="E1884" t="s">
        <v>9</v>
      </c>
      <c r="F1884" t="s">
        <v>10</v>
      </c>
    </row>
    <row r="1885" spans="1:6" x14ac:dyDescent="0.3">
      <c r="A1885">
        <v>1884</v>
      </c>
      <c r="B1885" t="s">
        <v>25</v>
      </c>
      <c r="C1885" t="s">
        <v>12</v>
      </c>
      <c r="D1885" t="s">
        <v>1</v>
      </c>
      <c r="E1885" t="s">
        <v>9</v>
      </c>
      <c r="F1885" t="s">
        <v>10</v>
      </c>
    </row>
    <row r="1886" spans="1:6" x14ac:dyDescent="0.3">
      <c r="A1886">
        <v>1885</v>
      </c>
      <c r="B1886" t="s">
        <v>16</v>
      </c>
      <c r="C1886" t="s">
        <v>12</v>
      </c>
      <c r="D1886" t="s">
        <v>8</v>
      </c>
      <c r="E1886" t="s">
        <v>9</v>
      </c>
      <c r="F1886" t="s">
        <v>13</v>
      </c>
    </row>
    <row r="1887" spans="1:6" x14ac:dyDescent="0.3">
      <c r="A1887">
        <v>1886</v>
      </c>
      <c r="B1887" t="s">
        <v>16</v>
      </c>
      <c r="C1887" t="s">
        <v>7</v>
      </c>
      <c r="D1887" t="s">
        <v>22</v>
      </c>
      <c r="E1887" t="s">
        <v>15</v>
      </c>
      <c r="F1887" t="s">
        <v>20</v>
      </c>
    </row>
    <row r="1888" spans="1:6" x14ac:dyDescent="0.3">
      <c r="A1888">
        <v>1887</v>
      </c>
      <c r="B1888" t="s">
        <v>25</v>
      </c>
      <c r="C1888" t="s">
        <v>12</v>
      </c>
      <c r="D1888" t="s">
        <v>8</v>
      </c>
      <c r="E1888" t="s">
        <v>21</v>
      </c>
      <c r="F1888" t="s">
        <v>10</v>
      </c>
    </row>
    <row r="1889" spans="1:6" x14ac:dyDescent="0.3">
      <c r="A1889">
        <v>1888</v>
      </c>
      <c r="B1889" t="s">
        <v>11</v>
      </c>
      <c r="C1889" t="s">
        <v>7</v>
      </c>
      <c r="D1889" t="s">
        <v>1</v>
      </c>
      <c r="E1889" t="s">
        <v>9</v>
      </c>
      <c r="F1889" t="s">
        <v>23</v>
      </c>
    </row>
    <row r="1890" spans="1:6" x14ac:dyDescent="0.3">
      <c r="A1890">
        <v>1889</v>
      </c>
      <c r="B1890" t="s">
        <v>14</v>
      </c>
      <c r="C1890" t="s">
        <v>7</v>
      </c>
      <c r="D1890" t="s">
        <v>1</v>
      </c>
      <c r="E1890" t="s">
        <v>21</v>
      </c>
      <c r="F1890" t="s">
        <v>23</v>
      </c>
    </row>
    <row r="1891" spans="1:6" x14ac:dyDescent="0.3">
      <c r="A1891">
        <v>1890</v>
      </c>
      <c r="B1891" t="s">
        <v>18</v>
      </c>
      <c r="C1891" t="s">
        <v>7</v>
      </c>
      <c r="D1891" t="s">
        <v>8</v>
      </c>
      <c r="E1891" t="s">
        <v>19</v>
      </c>
      <c r="F1891" t="s">
        <v>20</v>
      </c>
    </row>
    <row r="1892" spans="1:6" x14ac:dyDescent="0.3">
      <c r="A1892">
        <v>1891</v>
      </c>
      <c r="B1892" t="s">
        <v>6</v>
      </c>
      <c r="C1892" t="s">
        <v>7</v>
      </c>
      <c r="D1892" t="s">
        <v>22</v>
      </c>
      <c r="E1892" t="s">
        <v>21</v>
      </c>
      <c r="F1892" t="s">
        <v>13</v>
      </c>
    </row>
    <row r="1893" spans="1:6" x14ac:dyDescent="0.3">
      <c r="A1893">
        <v>1892</v>
      </c>
      <c r="B1893" t="s">
        <v>6</v>
      </c>
      <c r="C1893" t="s">
        <v>7</v>
      </c>
      <c r="D1893" t="s">
        <v>1</v>
      </c>
      <c r="E1893" t="s">
        <v>15</v>
      </c>
      <c r="F1893" t="s">
        <v>13</v>
      </c>
    </row>
    <row r="1894" spans="1:6" x14ac:dyDescent="0.3">
      <c r="A1894">
        <v>1893</v>
      </c>
      <c r="B1894" t="s">
        <v>18</v>
      </c>
      <c r="C1894" t="s">
        <v>7</v>
      </c>
      <c r="D1894" t="s">
        <v>22</v>
      </c>
      <c r="E1894" t="s">
        <v>21</v>
      </c>
      <c r="F1894" t="s">
        <v>23</v>
      </c>
    </row>
    <row r="1895" spans="1:6" x14ac:dyDescent="0.3">
      <c r="A1895">
        <v>1894</v>
      </c>
      <c r="B1895" t="s">
        <v>14</v>
      </c>
      <c r="C1895" t="s">
        <v>12</v>
      </c>
      <c r="D1895" t="s">
        <v>1</v>
      </c>
      <c r="E1895" t="s">
        <v>9</v>
      </c>
      <c r="F1895" t="s">
        <v>20</v>
      </c>
    </row>
    <row r="1896" spans="1:6" x14ac:dyDescent="0.3">
      <c r="A1896">
        <v>1895</v>
      </c>
      <c r="B1896" t="s">
        <v>14</v>
      </c>
      <c r="C1896" t="s">
        <v>12</v>
      </c>
      <c r="D1896" t="s">
        <v>22</v>
      </c>
      <c r="E1896" t="s">
        <v>19</v>
      </c>
      <c r="F1896" t="s">
        <v>10</v>
      </c>
    </row>
    <row r="1897" spans="1:6" x14ac:dyDescent="0.3">
      <c r="A1897">
        <v>1896</v>
      </c>
      <c r="B1897" t="s">
        <v>18</v>
      </c>
      <c r="C1897" t="s">
        <v>12</v>
      </c>
      <c r="D1897" t="s">
        <v>1</v>
      </c>
      <c r="E1897" t="s">
        <v>21</v>
      </c>
      <c r="F1897" t="s">
        <v>23</v>
      </c>
    </row>
    <row r="1898" spans="1:6" x14ac:dyDescent="0.3">
      <c r="A1898">
        <v>1897</v>
      </c>
      <c r="B1898" t="s">
        <v>16</v>
      </c>
      <c r="C1898" t="s">
        <v>7</v>
      </c>
      <c r="D1898" t="s">
        <v>8</v>
      </c>
      <c r="E1898" t="s">
        <v>21</v>
      </c>
      <c r="F1898" t="s">
        <v>13</v>
      </c>
    </row>
    <row r="1899" spans="1:6" x14ac:dyDescent="0.3">
      <c r="A1899">
        <v>1898</v>
      </c>
      <c r="B1899" t="s">
        <v>25</v>
      </c>
      <c r="C1899" t="s">
        <v>7</v>
      </c>
      <c r="D1899" t="s">
        <v>1</v>
      </c>
      <c r="E1899" t="s">
        <v>15</v>
      </c>
      <c r="F1899" t="s">
        <v>20</v>
      </c>
    </row>
    <row r="1900" spans="1:6" x14ac:dyDescent="0.3">
      <c r="A1900">
        <v>1899</v>
      </c>
      <c r="B1900" t="s">
        <v>11</v>
      </c>
      <c r="C1900" t="s">
        <v>7</v>
      </c>
      <c r="D1900" t="s">
        <v>22</v>
      </c>
      <c r="E1900" t="s">
        <v>9</v>
      </c>
      <c r="F1900" t="s">
        <v>13</v>
      </c>
    </row>
    <row r="1901" spans="1:6" x14ac:dyDescent="0.3">
      <c r="A1901">
        <v>1900</v>
      </c>
      <c r="B1901" t="s">
        <v>14</v>
      </c>
      <c r="C1901" t="s">
        <v>7</v>
      </c>
      <c r="D1901" t="s">
        <v>8</v>
      </c>
      <c r="E1901" t="s">
        <v>21</v>
      </c>
      <c r="F1901" t="s">
        <v>13</v>
      </c>
    </row>
    <row r="1902" spans="1:6" x14ac:dyDescent="0.3">
      <c r="A1902">
        <v>1901</v>
      </c>
      <c r="B1902" t="s">
        <v>6</v>
      </c>
      <c r="C1902" t="s">
        <v>7</v>
      </c>
      <c r="D1902" t="s">
        <v>8</v>
      </c>
      <c r="E1902" t="s">
        <v>9</v>
      </c>
      <c r="F1902" t="s">
        <v>13</v>
      </c>
    </row>
    <row r="1903" spans="1:6" x14ac:dyDescent="0.3">
      <c r="A1903">
        <v>1902</v>
      </c>
      <c r="B1903" t="s">
        <v>18</v>
      </c>
      <c r="C1903" t="s">
        <v>7</v>
      </c>
      <c r="D1903" t="s">
        <v>22</v>
      </c>
      <c r="E1903" t="s">
        <v>9</v>
      </c>
      <c r="F1903" t="s">
        <v>23</v>
      </c>
    </row>
    <row r="1904" spans="1:6" x14ac:dyDescent="0.3">
      <c r="A1904">
        <v>1903</v>
      </c>
      <c r="B1904" t="s">
        <v>6</v>
      </c>
      <c r="C1904" t="s">
        <v>12</v>
      </c>
      <c r="D1904" t="s">
        <v>8</v>
      </c>
      <c r="E1904" t="s">
        <v>19</v>
      </c>
      <c r="F1904" t="s">
        <v>10</v>
      </c>
    </row>
    <row r="1905" spans="1:6" x14ac:dyDescent="0.3">
      <c r="A1905">
        <v>1904</v>
      </c>
      <c r="B1905" t="s">
        <v>6</v>
      </c>
      <c r="C1905" t="s">
        <v>24</v>
      </c>
      <c r="D1905" t="s">
        <v>22</v>
      </c>
      <c r="E1905" t="s">
        <v>15</v>
      </c>
      <c r="F1905" t="s">
        <v>20</v>
      </c>
    </row>
    <row r="1906" spans="1:6" x14ac:dyDescent="0.3">
      <c r="A1906">
        <v>1905</v>
      </c>
      <c r="B1906" t="s">
        <v>11</v>
      </c>
      <c r="C1906" t="s">
        <v>12</v>
      </c>
      <c r="D1906" t="s">
        <v>22</v>
      </c>
      <c r="E1906" t="s">
        <v>15</v>
      </c>
      <c r="F1906" t="s">
        <v>20</v>
      </c>
    </row>
    <row r="1907" spans="1:6" x14ac:dyDescent="0.3">
      <c r="A1907">
        <v>1906</v>
      </c>
      <c r="B1907" t="s">
        <v>25</v>
      </c>
      <c r="C1907" t="s">
        <v>7</v>
      </c>
      <c r="D1907" t="s">
        <v>1</v>
      </c>
      <c r="E1907" t="s">
        <v>15</v>
      </c>
      <c r="F1907" t="s">
        <v>23</v>
      </c>
    </row>
    <row r="1908" spans="1:6" x14ac:dyDescent="0.3">
      <c r="A1908">
        <v>1907</v>
      </c>
      <c r="B1908" t="s">
        <v>16</v>
      </c>
      <c r="C1908" t="s">
        <v>7</v>
      </c>
      <c r="D1908" t="s">
        <v>1</v>
      </c>
      <c r="E1908" t="s">
        <v>9</v>
      </c>
      <c r="F1908" t="s">
        <v>23</v>
      </c>
    </row>
    <row r="1909" spans="1:6" x14ac:dyDescent="0.3">
      <c r="A1909">
        <v>1908</v>
      </c>
      <c r="B1909" t="s">
        <v>6</v>
      </c>
      <c r="C1909" t="s">
        <v>7</v>
      </c>
      <c r="D1909" t="s">
        <v>1</v>
      </c>
      <c r="E1909" t="s">
        <v>9</v>
      </c>
      <c r="F1909" t="s">
        <v>13</v>
      </c>
    </row>
    <row r="1910" spans="1:6" x14ac:dyDescent="0.3">
      <c r="A1910">
        <v>1909</v>
      </c>
      <c r="B1910" t="s">
        <v>25</v>
      </c>
      <c r="C1910" t="s">
        <v>12</v>
      </c>
      <c r="D1910" t="s">
        <v>8</v>
      </c>
      <c r="E1910" t="s">
        <v>21</v>
      </c>
      <c r="F1910" t="s">
        <v>20</v>
      </c>
    </row>
    <row r="1911" spans="1:6" x14ac:dyDescent="0.3">
      <c r="A1911">
        <v>1910</v>
      </c>
      <c r="B1911" t="s">
        <v>14</v>
      </c>
      <c r="C1911" t="s">
        <v>7</v>
      </c>
      <c r="D1911" t="s">
        <v>8</v>
      </c>
      <c r="E1911" t="s">
        <v>9</v>
      </c>
      <c r="F1911" t="s">
        <v>23</v>
      </c>
    </row>
    <row r="1912" spans="1:6" x14ac:dyDescent="0.3">
      <c r="A1912">
        <v>1911</v>
      </c>
      <c r="B1912" t="s">
        <v>16</v>
      </c>
      <c r="C1912" t="s">
        <v>7</v>
      </c>
      <c r="D1912" t="s">
        <v>22</v>
      </c>
      <c r="E1912" t="s">
        <v>21</v>
      </c>
      <c r="F1912" t="s">
        <v>10</v>
      </c>
    </row>
    <row r="1913" spans="1:6" x14ac:dyDescent="0.3">
      <c r="A1913">
        <v>1912</v>
      </c>
      <c r="B1913" t="s">
        <v>6</v>
      </c>
      <c r="C1913" t="s">
        <v>12</v>
      </c>
      <c r="D1913" t="s">
        <v>8</v>
      </c>
      <c r="E1913" t="s">
        <v>9</v>
      </c>
      <c r="F1913" t="s">
        <v>10</v>
      </c>
    </row>
    <row r="1914" spans="1:6" x14ac:dyDescent="0.3">
      <c r="A1914">
        <v>1913</v>
      </c>
      <c r="B1914" t="s">
        <v>6</v>
      </c>
      <c r="C1914" t="s">
        <v>7</v>
      </c>
      <c r="D1914" t="s">
        <v>8</v>
      </c>
      <c r="E1914" t="s">
        <v>15</v>
      </c>
      <c r="F1914" t="s">
        <v>20</v>
      </c>
    </row>
    <row r="1915" spans="1:6" x14ac:dyDescent="0.3">
      <c r="A1915">
        <v>1914</v>
      </c>
      <c r="B1915" t="s">
        <v>11</v>
      </c>
      <c r="C1915" t="s">
        <v>12</v>
      </c>
      <c r="D1915" t="s">
        <v>22</v>
      </c>
      <c r="E1915" t="s">
        <v>15</v>
      </c>
      <c r="F1915" t="s">
        <v>13</v>
      </c>
    </row>
    <row r="1916" spans="1:6" x14ac:dyDescent="0.3">
      <c r="A1916">
        <v>1915</v>
      </c>
      <c r="B1916" t="s">
        <v>14</v>
      </c>
      <c r="C1916" t="s">
        <v>7</v>
      </c>
      <c r="D1916" t="s">
        <v>1</v>
      </c>
      <c r="E1916" t="s">
        <v>21</v>
      </c>
      <c r="F1916" t="s">
        <v>20</v>
      </c>
    </row>
    <row r="1917" spans="1:6" x14ac:dyDescent="0.3">
      <c r="A1917">
        <v>1916</v>
      </c>
      <c r="B1917" t="s">
        <v>16</v>
      </c>
      <c r="C1917" t="s">
        <v>7</v>
      </c>
      <c r="D1917" t="s">
        <v>1</v>
      </c>
      <c r="E1917" t="s">
        <v>21</v>
      </c>
      <c r="F1917" t="s">
        <v>13</v>
      </c>
    </row>
    <row r="1918" spans="1:6" x14ac:dyDescent="0.3">
      <c r="A1918">
        <v>1917</v>
      </c>
      <c r="B1918" t="s">
        <v>11</v>
      </c>
      <c r="C1918" t="s">
        <v>7</v>
      </c>
      <c r="D1918" t="s">
        <v>1</v>
      </c>
      <c r="E1918" t="s">
        <v>21</v>
      </c>
      <c r="F1918" t="s">
        <v>20</v>
      </c>
    </row>
    <row r="1919" spans="1:6" x14ac:dyDescent="0.3">
      <c r="A1919">
        <v>1918</v>
      </c>
      <c r="B1919" t="s">
        <v>14</v>
      </c>
      <c r="C1919" t="s">
        <v>7</v>
      </c>
      <c r="D1919" t="s">
        <v>1</v>
      </c>
      <c r="E1919" t="s">
        <v>15</v>
      </c>
      <c r="F1919" t="s">
        <v>20</v>
      </c>
    </row>
    <row r="1920" spans="1:6" x14ac:dyDescent="0.3">
      <c r="A1920">
        <v>1919</v>
      </c>
      <c r="B1920" t="s">
        <v>14</v>
      </c>
      <c r="C1920" t="s">
        <v>12</v>
      </c>
      <c r="D1920" t="s">
        <v>1</v>
      </c>
      <c r="E1920" t="s">
        <v>21</v>
      </c>
      <c r="F1920" t="s">
        <v>23</v>
      </c>
    </row>
    <row r="1921" spans="1:6" x14ac:dyDescent="0.3">
      <c r="A1921">
        <v>1920</v>
      </c>
      <c r="B1921" t="s">
        <v>11</v>
      </c>
      <c r="C1921" t="s">
        <v>12</v>
      </c>
      <c r="D1921" t="s">
        <v>22</v>
      </c>
      <c r="E1921" t="s">
        <v>9</v>
      </c>
      <c r="F1921" t="s">
        <v>10</v>
      </c>
    </row>
    <row r="1922" spans="1:6" x14ac:dyDescent="0.3">
      <c r="A1922">
        <v>1921</v>
      </c>
      <c r="B1922" t="s">
        <v>18</v>
      </c>
      <c r="C1922" t="s">
        <v>12</v>
      </c>
      <c r="D1922" t="s">
        <v>22</v>
      </c>
      <c r="E1922" t="s">
        <v>19</v>
      </c>
      <c r="F1922" t="s">
        <v>23</v>
      </c>
    </row>
    <row r="1923" spans="1:6" x14ac:dyDescent="0.3">
      <c r="A1923">
        <v>1922</v>
      </c>
      <c r="B1923" t="s">
        <v>11</v>
      </c>
      <c r="C1923" t="s">
        <v>7</v>
      </c>
      <c r="D1923" t="s">
        <v>1</v>
      </c>
      <c r="E1923" t="s">
        <v>9</v>
      </c>
      <c r="F1923" t="s">
        <v>13</v>
      </c>
    </row>
    <row r="1924" spans="1:6" x14ac:dyDescent="0.3">
      <c r="A1924">
        <v>1923</v>
      </c>
      <c r="B1924" t="s">
        <v>16</v>
      </c>
      <c r="C1924" t="s">
        <v>12</v>
      </c>
      <c r="D1924" t="s">
        <v>22</v>
      </c>
      <c r="E1924" t="s">
        <v>9</v>
      </c>
      <c r="F1924" t="s">
        <v>10</v>
      </c>
    </row>
    <row r="1925" spans="1:6" x14ac:dyDescent="0.3">
      <c r="A1925">
        <v>1924</v>
      </c>
      <c r="B1925" t="s">
        <v>25</v>
      </c>
      <c r="C1925" t="s">
        <v>7</v>
      </c>
      <c r="D1925" t="s">
        <v>1</v>
      </c>
      <c r="E1925" t="s">
        <v>21</v>
      </c>
      <c r="F1925" t="s">
        <v>23</v>
      </c>
    </row>
    <row r="1926" spans="1:6" x14ac:dyDescent="0.3">
      <c r="A1926">
        <v>1925</v>
      </c>
      <c r="B1926" t="s">
        <v>6</v>
      </c>
      <c r="C1926" t="s">
        <v>7</v>
      </c>
      <c r="D1926" t="s">
        <v>1</v>
      </c>
      <c r="E1926" t="s">
        <v>21</v>
      </c>
      <c r="F1926" t="s">
        <v>10</v>
      </c>
    </row>
    <row r="1927" spans="1:6" x14ac:dyDescent="0.3">
      <c r="A1927">
        <v>1926</v>
      </c>
      <c r="B1927" t="s">
        <v>18</v>
      </c>
      <c r="C1927" t="s">
        <v>12</v>
      </c>
      <c r="D1927" t="s">
        <v>8</v>
      </c>
      <c r="E1927" t="s">
        <v>19</v>
      </c>
      <c r="F1927" t="s">
        <v>23</v>
      </c>
    </row>
    <row r="1928" spans="1:6" x14ac:dyDescent="0.3">
      <c r="A1928">
        <v>1927</v>
      </c>
      <c r="B1928" t="s">
        <v>6</v>
      </c>
      <c r="C1928" t="s">
        <v>7</v>
      </c>
      <c r="D1928" t="s">
        <v>1</v>
      </c>
      <c r="E1928" t="s">
        <v>9</v>
      </c>
      <c r="F1928" t="s">
        <v>23</v>
      </c>
    </row>
    <row r="1929" spans="1:6" x14ac:dyDescent="0.3">
      <c r="A1929">
        <v>1928</v>
      </c>
      <c r="B1929" t="s">
        <v>25</v>
      </c>
      <c r="C1929" t="s">
        <v>12</v>
      </c>
      <c r="D1929" t="s">
        <v>1</v>
      </c>
      <c r="E1929" t="s">
        <v>21</v>
      </c>
      <c r="F1929" t="s">
        <v>10</v>
      </c>
    </row>
    <row r="1930" spans="1:6" x14ac:dyDescent="0.3">
      <c r="A1930">
        <v>1929</v>
      </c>
      <c r="B1930" t="s">
        <v>14</v>
      </c>
      <c r="C1930" t="s">
        <v>7</v>
      </c>
      <c r="D1930" t="s">
        <v>1</v>
      </c>
      <c r="E1930" t="s">
        <v>21</v>
      </c>
      <c r="F1930" t="s">
        <v>23</v>
      </c>
    </row>
    <row r="1931" spans="1:6" x14ac:dyDescent="0.3">
      <c r="A1931">
        <v>1930</v>
      </c>
      <c r="B1931" t="s">
        <v>18</v>
      </c>
      <c r="C1931" t="s">
        <v>12</v>
      </c>
      <c r="D1931" t="s">
        <v>22</v>
      </c>
      <c r="E1931" t="s">
        <v>19</v>
      </c>
      <c r="F1931" t="s">
        <v>13</v>
      </c>
    </row>
    <row r="1932" spans="1:6" x14ac:dyDescent="0.3">
      <c r="A1932">
        <v>1931</v>
      </c>
      <c r="B1932" t="s">
        <v>6</v>
      </c>
      <c r="C1932" t="s">
        <v>12</v>
      </c>
      <c r="D1932" t="s">
        <v>8</v>
      </c>
      <c r="E1932" t="s">
        <v>21</v>
      </c>
      <c r="F1932" t="s">
        <v>20</v>
      </c>
    </row>
    <row r="1933" spans="1:6" x14ac:dyDescent="0.3">
      <c r="A1933">
        <v>1932</v>
      </c>
      <c r="B1933" t="s">
        <v>25</v>
      </c>
      <c r="C1933" t="s">
        <v>12</v>
      </c>
      <c r="D1933" t="s">
        <v>22</v>
      </c>
      <c r="E1933" t="s">
        <v>21</v>
      </c>
      <c r="F1933" t="s">
        <v>20</v>
      </c>
    </row>
    <row r="1934" spans="1:6" x14ac:dyDescent="0.3">
      <c r="A1934">
        <v>1933</v>
      </c>
      <c r="B1934" t="s">
        <v>6</v>
      </c>
      <c r="C1934" t="s">
        <v>24</v>
      </c>
      <c r="D1934" t="s">
        <v>1</v>
      </c>
      <c r="E1934" t="s">
        <v>9</v>
      </c>
      <c r="F1934" t="s">
        <v>23</v>
      </c>
    </row>
    <row r="1935" spans="1:6" x14ac:dyDescent="0.3">
      <c r="A1935">
        <v>1934</v>
      </c>
      <c r="B1935" t="s">
        <v>16</v>
      </c>
      <c r="C1935" t="s">
        <v>12</v>
      </c>
      <c r="D1935" t="s">
        <v>8</v>
      </c>
      <c r="E1935" t="s">
        <v>9</v>
      </c>
      <c r="F1935" t="s">
        <v>13</v>
      </c>
    </row>
    <row r="1936" spans="1:6" x14ac:dyDescent="0.3">
      <c r="A1936">
        <v>1935</v>
      </c>
      <c r="B1936" t="s">
        <v>25</v>
      </c>
      <c r="C1936" t="s">
        <v>7</v>
      </c>
      <c r="D1936" t="s">
        <v>8</v>
      </c>
      <c r="E1936" t="s">
        <v>9</v>
      </c>
      <c r="F1936" t="s">
        <v>10</v>
      </c>
    </row>
    <row r="1937" spans="1:6" x14ac:dyDescent="0.3">
      <c r="A1937">
        <v>1936</v>
      </c>
      <c r="B1937" t="s">
        <v>16</v>
      </c>
      <c r="C1937" t="s">
        <v>7</v>
      </c>
      <c r="D1937" t="s">
        <v>8</v>
      </c>
      <c r="E1937" t="s">
        <v>15</v>
      </c>
      <c r="F1937" t="s">
        <v>20</v>
      </c>
    </row>
    <row r="1938" spans="1:6" x14ac:dyDescent="0.3">
      <c r="A1938">
        <v>1937</v>
      </c>
      <c r="B1938" t="s">
        <v>16</v>
      </c>
      <c r="C1938" t="s">
        <v>7</v>
      </c>
      <c r="D1938" t="s">
        <v>8</v>
      </c>
      <c r="E1938" t="s">
        <v>9</v>
      </c>
      <c r="F1938" t="s">
        <v>13</v>
      </c>
    </row>
    <row r="1939" spans="1:6" x14ac:dyDescent="0.3">
      <c r="A1939">
        <v>1938</v>
      </c>
      <c r="B1939" t="s">
        <v>18</v>
      </c>
      <c r="C1939" t="s">
        <v>7</v>
      </c>
      <c r="D1939" t="s">
        <v>1</v>
      </c>
      <c r="E1939" t="s">
        <v>19</v>
      </c>
      <c r="F1939" t="s">
        <v>10</v>
      </c>
    </row>
    <row r="1940" spans="1:6" x14ac:dyDescent="0.3">
      <c r="A1940">
        <v>1939</v>
      </c>
      <c r="B1940" t="s">
        <v>16</v>
      </c>
      <c r="C1940" t="s">
        <v>12</v>
      </c>
      <c r="D1940" t="s">
        <v>8</v>
      </c>
      <c r="E1940" t="s">
        <v>15</v>
      </c>
      <c r="F1940" t="s">
        <v>23</v>
      </c>
    </row>
    <row r="1941" spans="1:6" x14ac:dyDescent="0.3">
      <c r="A1941">
        <v>1940</v>
      </c>
      <c r="B1941" t="s">
        <v>16</v>
      </c>
      <c r="C1941" t="s">
        <v>7</v>
      </c>
      <c r="D1941" t="s">
        <v>22</v>
      </c>
      <c r="E1941" t="s">
        <v>9</v>
      </c>
      <c r="F1941" t="s">
        <v>20</v>
      </c>
    </row>
    <row r="1942" spans="1:6" x14ac:dyDescent="0.3">
      <c r="A1942">
        <v>1941</v>
      </c>
      <c r="B1942" t="s">
        <v>25</v>
      </c>
      <c r="C1942" t="s">
        <v>12</v>
      </c>
      <c r="D1942" t="s">
        <v>1</v>
      </c>
      <c r="E1942" t="s">
        <v>21</v>
      </c>
      <c r="F1942" t="s">
        <v>20</v>
      </c>
    </row>
    <row r="1943" spans="1:6" x14ac:dyDescent="0.3">
      <c r="A1943">
        <v>1942</v>
      </c>
      <c r="B1943" t="s">
        <v>18</v>
      </c>
      <c r="C1943" t="s">
        <v>7</v>
      </c>
      <c r="D1943" t="s">
        <v>1</v>
      </c>
      <c r="E1943" t="s">
        <v>21</v>
      </c>
      <c r="F1943" t="s">
        <v>10</v>
      </c>
    </row>
    <row r="1944" spans="1:6" x14ac:dyDescent="0.3">
      <c r="A1944">
        <v>1943</v>
      </c>
      <c r="B1944" t="s">
        <v>25</v>
      </c>
      <c r="C1944" t="s">
        <v>7</v>
      </c>
      <c r="D1944" t="s">
        <v>22</v>
      </c>
      <c r="E1944" t="s">
        <v>21</v>
      </c>
      <c r="F1944" t="s">
        <v>10</v>
      </c>
    </row>
    <row r="1945" spans="1:6" x14ac:dyDescent="0.3">
      <c r="A1945">
        <v>1944</v>
      </c>
      <c r="B1945" t="s">
        <v>25</v>
      </c>
      <c r="C1945" t="s">
        <v>7</v>
      </c>
      <c r="D1945" t="s">
        <v>1</v>
      </c>
      <c r="E1945" t="s">
        <v>9</v>
      </c>
      <c r="F1945" t="s">
        <v>10</v>
      </c>
    </row>
    <row r="1946" spans="1:6" x14ac:dyDescent="0.3">
      <c r="A1946">
        <v>1945</v>
      </c>
      <c r="B1946" t="s">
        <v>16</v>
      </c>
      <c r="C1946" t="s">
        <v>12</v>
      </c>
      <c r="D1946" t="s">
        <v>22</v>
      </c>
      <c r="E1946" t="s">
        <v>9</v>
      </c>
      <c r="F1946" t="s">
        <v>20</v>
      </c>
    </row>
    <row r="1947" spans="1:6" x14ac:dyDescent="0.3">
      <c r="A1947">
        <v>1946</v>
      </c>
      <c r="B1947" t="s">
        <v>25</v>
      </c>
      <c r="C1947" t="s">
        <v>7</v>
      </c>
      <c r="D1947" t="s">
        <v>1</v>
      </c>
      <c r="E1947" t="s">
        <v>21</v>
      </c>
      <c r="F1947" t="s">
        <v>23</v>
      </c>
    </row>
    <row r="1948" spans="1:6" x14ac:dyDescent="0.3">
      <c r="A1948">
        <v>1947</v>
      </c>
      <c r="B1948" t="s">
        <v>18</v>
      </c>
      <c r="C1948" t="s">
        <v>12</v>
      </c>
      <c r="D1948" t="s">
        <v>22</v>
      </c>
      <c r="E1948" t="s">
        <v>9</v>
      </c>
      <c r="F1948" t="s">
        <v>20</v>
      </c>
    </row>
    <row r="1949" spans="1:6" x14ac:dyDescent="0.3">
      <c r="A1949">
        <v>1948</v>
      </c>
      <c r="B1949" t="s">
        <v>11</v>
      </c>
      <c r="C1949" t="s">
        <v>12</v>
      </c>
      <c r="D1949" t="s">
        <v>22</v>
      </c>
      <c r="E1949" t="s">
        <v>21</v>
      </c>
      <c r="F1949" t="s">
        <v>13</v>
      </c>
    </row>
    <row r="1950" spans="1:6" x14ac:dyDescent="0.3">
      <c r="A1950">
        <v>1949</v>
      </c>
      <c r="B1950" t="s">
        <v>25</v>
      </c>
      <c r="C1950" t="s">
        <v>7</v>
      </c>
      <c r="D1950" t="s">
        <v>22</v>
      </c>
      <c r="E1950" t="s">
        <v>9</v>
      </c>
      <c r="F1950" t="s">
        <v>10</v>
      </c>
    </row>
    <row r="1951" spans="1:6" x14ac:dyDescent="0.3">
      <c r="A1951">
        <v>1950</v>
      </c>
      <c r="B1951" t="s">
        <v>14</v>
      </c>
      <c r="C1951" t="s">
        <v>7</v>
      </c>
      <c r="D1951" t="s">
        <v>1</v>
      </c>
      <c r="E1951" t="s">
        <v>21</v>
      </c>
      <c r="F1951" t="s">
        <v>23</v>
      </c>
    </row>
    <row r="1952" spans="1:6" x14ac:dyDescent="0.3">
      <c r="A1952">
        <v>1951</v>
      </c>
      <c r="B1952" t="s">
        <v>25</v>
      </c>
      <c r="C1952" t="s">
        <v>12</v>
      </c>
      <c r="D1952" t="s">
        <v>1</v>
      </c>
      <c r="E1952" t="s">
        <v>21</v>
      </c>
      <c r="F1952" t="s">
        <v>20</v>
      </c>
    </row>
    <row r="1953" spans="1:6" x14ac:dyDescent="0.3">
      <c r="A1953">
        <v>1952</v>
      </c>
      <c r="B1953" t="s">
        <v>6</v>
      </c>
      <c r="C1953" t="s">
        <v>12</v>
      </c>
      <c r="D1953" t="s">
        <v>8</v>
      </c>
      <c r="E1953" t="s">
        <v>21</v>
      </c>
      <c r="F1953" t="s">
        <v>20</v>
      </c>
    </row>
    <row r="1954" spans="1:6" x14ac:dyDescent="0.3">
      <c r="A1954">
        <v>1953</v>
      </c>
      <c r="B1954" t="s">
        <v>6</v>
      </c>
      <c r="C1954" t="s">
        <v>12</v>
      </c>
      <c r="D1954" t="s">
        <v>1</v>
      </c>
      <c r="E1954" t="s">
        <v>19</v>
      </c>
      <c r="F1954" t="s">
        <v>10</v>
      </c>
    </row>
    <row r="1955" spans="1:6" x14ac:dyDescent="0.3">
      <c r="A1955">
        <v>1954</v>
      </c>
      <c r="B1955" t="s">
        <v>6</v>
      </c>
      <c r="C1955" t="s">
        <v>7</v>
      </c>
      <c r="D1955" t="s">
        <v>1</v>
      </c>
      <c r="E1955" t="s">
        <v>21</v>
      </c>
      <c r="F1955" t="s">
        <v>20</v>
      </c>
    </row>
    <row r="1956" spans="1:6" x14ac:dyDescent="0.3">
      <c r="A1956">
        <v>1955</v>
      </c>
      <c r="B1956" t="s">
        <v>16</v>
      </c>
      <c r="C1956" t="s">
        <v>7</v>
      </c>
      <c r="D1956" t="s">
        <v>22</v>
      </c>
      <c r="E1956" t="s">
        <v>9</v>
      </c>
      <c r="F1956" t="s">
        <v>10</v>
      </c>
    </row>
    <row r="1957" spans="1:6" x14ac:dyDescent="0.3">
      <c r="A1957">
        <v>1956</v>
      </c>
      <c r="B1957" t="s">
        <v>18</v>
      </c>
      <c r="C1957" t="s">
        <v>7</v>
      </c>
      <c r="D1957" t="s">
        <v>8</v>
      </c>
      <c r="E1957" t="s">
        <v>19</v>
      </c>
      <c r="F1957" t="s">
        <v>20</v>
      </c>
    </row>
    <row r="1958" spans="1:6" x14ac:dyDescent="0.3">
      <c r="A1958">
        <v>1957</v>
      </c>
      <c r="B1958" t="s">
        <v>18</v>
      </c>
      <c r="C1958" t="s">
        <v>24</v>
      </c>
      <c r="D1958" t="s">
        <v>1</v>
      </c>
      <c r="E1958" t="s">
        <v>9</v>
      </c>
      <c r="F1958" t="s">
        <v>23</v>
      </c>
    </row>
    <row r="1959" spans="1:6" x14ac:dyDescent="0.3">
      <c r="A1959">
        <v>1958</v>
      </c>
      <c r="B1959" t="s">
        <v>11</v>
      </c>
      <c r="C1959" t="s">
        <v>12</v>
      </c>
      <c r="D1959" t="s">
        <v>8</v>
      </c>
      <c r="E1959" t="s">
        <v>15</v>
      </c>
      <c r="F1959" t="s">
        <v>20</v>
      </c>
    </row>
    <row r="1960" spans="1:6" x14ac:dyDescent="0.3">
      <c r="A1960">
        <v>1959</v>
      </c>
      <c r="B1960" t="s">
        <v>25</v>
      </c>
      <c r="C1960" t="s">
        <v>24</v>
      </c>
      <c r="D1960" t="s">
        <v>8</v>
      </c>
      <c r="E1960" t="s">
        <v>15</v>
      </c>
      <c r="F1960" t="s">
        <v>13</v>
      </c>
    </row>
    <row r="1961" spans="1:6" x14ac:dyDescent="0.3">
      <c r="A1961">
        <v>1960</v>
      </c>
      <c r="B1961" t="s">
        <v>25</v>
      </c>
      <c r="C1961" t="s">
        <v>7</v>
      </c>
      <c r="D1961" t="s">
        <v>22</v>
      </c>
      <c r="E1961" t="s">
        <v>15</v>
      </c>
      <c r="F1961" t="s">
        <v>20</v>
      </c>
    </row>
    <row r="1962" spans="1:6" x14ac:dyDescent="0.3">
      <c r="A1962">
        <v>1961</v>
      </c>
      <c r="B1962" t="s">
        <v>11</v>
      </c>
      <c r="C1962" t="s">
        <v>24</v>
      </c>
      <c r="D1962" t="s">
        <v>8</v>
      </c>
      <c r="E1962" t="s">
        <v>9</v>
      </c>
      <c r="F1962" t="s">
        <v>13</v>
      </c>
    </row>
    <row r="1963" spans="1:6" x14ac:dyDescent="0.3">
      <c r="A1963">
        <v>1962</v>
      </c>
      <c r="B1963" t="s">
        <v>6</v>
      </c>
      <c r="C1963" t="s">
        <v>12</v>
      </c>
      <c r="D1963" t="s">
        <v>8</v>
      </c>
      <c r="E1963" t="s">
        <v>9</v>
      </c>
      <c r="F1963" t="s">
        <v>23</v>
      </c>
    </row>
    <row r="1964" spans="1:6" x14ac:dyDescent="0.3">
      <c r="A1964">
        <v>1963</v>
      </c>
      <c r="B1964" t="s">
        <v>18</v>
      </c>
      <c r="C1964" t="s">
        <v>7</v>
      </c>
      <c r="D1964" t="s">
        <v>8</v>
      </c>
      <c r="E1964" t="s">
        <v>21</v>
      </c>
      <c r="F1964" t="s">
        <v>20</v>
      </c>
    </row>
    <row r="1965" spans="1:6" x14ac:dyDescent="0.3">
      <c r="A1965">
        <v>1964</v>
      </c>
      <c r="B1965" t="s">
        <v>25</v>
      </c>
      <c r="C1965" t="s">
        <v>7</v>
      </c>
      <c r="D1965" t="s">
        <v>1</v>
      </c>
      <c r="E1965" t="s">
        <v>21</v>
      </c>
      <c r="F1965" t="s">
        <v>20</v>
      </c>
    </row>
    <row r="1966" spans="1:6" x14ac:dyDescent="0.3">
      <c r="A1966">
        <v>1965</v>
      </c>
      <c r="B1966" t="s">
        <v>14</v>
      </c>
      <c r="C1966" t="s">
        <v>24</v>
      </c>
      <c r="D1966" t="s">
        <v>8</v>
      </c>
      <c r="E1966" t="s">
        <v>15</v>
      </c>
      <c r="F1966" t="s">
        <v>20</v>
      </c>
    </row>
    <row r="1967" spans="1:6" x14ac:dyDescent="0.3">
      <c r="A1967">
        <v>1966</v>
      </c>
      <c r="B1967" t="s">
        <v>16</v>
      </c>
      <c r="C1967" t="s">
        <v>24</v>
      </c>
      <c r="D1967" t="s">
        <v>22</v>
      </c>
      <c r="E1967" t="s">
        <v>15</v>
      </c>
      <c r="F1967" t="s">
        <v>20</v>
      </c>
    </row>
    <row r="1968" spans="1:6" x14ac:dyDescent="0.3">
      <c r="A1968">
        <v>1967</v>
      </c>
      <c r="B1968" t="s">
        <v>25</v>
      </c>
      <c r="C1968" t="s">
        <v>7</v>
      </c>
      <c r="D1968" t="s">
        <v>1</v>
      </c>
      <c r="E1968" t="s">
        <v>9</v>
      </c>
      <c r="F1968" t="s">
        <v>23</v>
      </c>
    </row>
    <row r="1969" spans="1:6" x14ac:dyDescent="0.3">
      <c r="A1969">
        <v>1968</v>
      </c>
      <c r="B1969" t="s">
        <v>25</v>
      </c>
      <c r="C1969" t="s">
        <v>12</v>
      </c>
      <c r="D1969" t="s">
        <v>22</v>
      </c>
      <c r="E1969" t="s">
        <v>9</v>
      </c>
      <c r="F1969" t="s">
        <v>23</v>
      </c>
    </row>
    <row r="1970" spans="1:6" x14ac:dyDescent="0.3">
      <c r="A1970">
        <v>1969</v>
      </c>
      <c r="B1970" t="s">
        <v>18</v>
      </c>
      <c r="C1970" t="s">
        <v>7</v>
      </c>
      <c r="D1970" t="s">
        <v>1</v>
      </c>
      <c r="E1970" t="s">
        <v>21</v>
      </c>
      <c r="F1970" t="s">
        <v>20</v>
      </c>
    </row>
    <row r="1971" spans="1:6" x14ac:dyDescent="0.3">
      <c r="A1971">
        <v>1970</v>
      </c>
      <c r="B1971" t="s">
        <v>25</v>
      </c>
      <c r="C1971" t="s">
        <v>7</v>
      </c>
      <c r="D1971" t="s">
        <v>22</v>
      </c>
      <c r="E1971" t="s">
        <v>9</v>
      </c>
      <c r="F1971" t="s">
        <v>13</v>
      </c>
    </row>
    <row r="1972" spans="1:6" x14ac:dyDescent="0.3">
      <c r="A1972">
        <v>1971</v>
      </c>
      <c r="B1972" t="s">
        <v>16</v>
      </c>
      <c r="C1972" t="s">
        <v>24</v>
      </c>
      <c r="D1972" t="s">
        <v>1</v>
      </c>
      <c r="E1972" t="s">
        <v>15</v>
      </c>
      <c r="F1972" t="s">
        <v>20</v>
      </c>
    </row>
    <row r="1973" spans="1:6" x14ac:dyDescent="0.3">
      <c r="A1973">
        <v>1972</v>
      </c>
      <c r="B1973" t="s">
        <v>16</v>
      </c>
      <c r="C1973" t="s">
        <v>24</v>
      </c>
      <c r="D1973" t="s">
        <v>1</v>
      </c>
      <c r="E1973" t="s">
        <v>15</v>
      </c>
      <c r="F1973" t="s">
        <v>13</v>
      </c>
    </row>
    <row r="1974" spans="1:6" x14ac:dyDescent="0.3">
      <c r="A1974">
        <v>1973</v>
      </c>
      <c r="B1974" t="s">
        <v>25</v>
      </c>
      <c r="C1974" t="s">
        <v>7</v>
      </c>
      <c r="D1974" t="s">
        <v>1</v>
      </c>
      <c r="E1974" t="s">
        <v>15</v>
      </c>
      <c r="F1974" t="s">
        <v>23</v>
      </c>
    </row>
    <row r="1975" spans="1:6" x14ac:dyDescent="0.3">
      <c r="A1975">
        <v>1974</v>
      </c>
      <c r="B1975" t="s">
        <v>11</v>
      </c>
      <c r="C1975" t="s">
        <v>12</v>
      </c>
      <c r="D1975" t="s">
        <v>22</v>
      </c>
      <c r="E1975" t="s">
        <v>15</v>
      </c>
      <c r="F1975" t="s">
        <v>20</v>
      </c>
    </row>
    <row r="1976" spans="1:6" x14ac:dyDescent="0.3">
      <c r="A1976">
        <v>1975</v>
      </c>
      <c r="B1976" t="s">
        <v>14</v>
      </c>
      <c r="C1976" t="s">
        <v>7</v>
      </c>
      <c r="D1976" t="s">
        <v>8</v>
      </c>
      <c r="E1976" t="s">
        <v>9</v>
      </c>
      <c r="F1976" t="s">
        <v>20</v>
      </c>
    </row>
    <row r="1977" spans="1:6" x14ac:dyDescent="0.3">
      <c r="A1977">
        <v>1976</v>
      </c>
      <c r="B1977" t="s">
        <v>16</v>
      </c>
      <c r="C1977" t="s">
        <v>12</v>
      </c>
      <c r="D1977" t="s">
        <v>22</v>
      </c>
      <c r="E1977" t="s">
        <v>9</v>
      </c>
      <c r="F1977" t="s">
        <v>23</v>
      </c>
    </row>
    <row r="1978" spans="1:6" x14ac:dyDescent="0.3">
      <c r="A1978">
        <v>1977</v>
      </c>
      <c r="B1978" t="s">
        <v>18</v>
      </c>
      <c r="C1978" t="s">
        <v>12</v>
      </c>
      <c r="D1978" t="s">
        <v>8</v>
      </c>
      <c r="E1978" t="s">
        <v>21</v>
      </c>
      <c r="F1978" t="s">
        <v>13</v>
      </c>
    </row>
    <row r="1979" spans="1:6" x14ac:dyDescent="0.3">
      <c r="A1979">
        <v>1978</v>
      </c>
      <c r="B1979" t="s">
        <v>11</v>
      </c>
      <c r="C1979" t="s">
        <v>24</v>
      </c>
      <c r="D1979" t="s">
        <v>22</v>
      </c>
      <c r="E1979" t="s">
        <v>15</v>
      </c>
      <c r="F1979" t="s">
        <v>23</v>
      </c>
    </row>
    <row r="1980" spans="1:6" x14ac:dyDescent="0.3">
      <c r="A1980">
        <v>1979</v>
      </c>
      <c r="B1980" t="s">
        <v>16</v>
      </c>
      <c r="C1980" t="s">
        <v>7</v>
      </c>
      <c r="D1980" t="s">
        <v>22</v>
      </c>
      <c r="E1980" t="s">
        <v>9</v>
      </c>
      <c r="F1980" t="s">
        <v>20</v>
      </c>
    </row>
    <row r="1981" spans="1:6" x14ac:dyDescent="0.3">
      <c r="A1981">
        <v>1980</v>
      </c>
      <c r="B1981" t="s">
        <v>25</v>
      </c>
      <c r="C1981" t="s">
        <v>7</v>
      </c>
      <c r="D1981" t="s">
        <v>1</v>
      </c>
      <c r="E1981" t="s">
        <v>9</v>
      </c>
      <c r="F1981" t="s">
        <v>20</v>
      </c>
    </row>
    <row r="1982" spans="1:6" x14ac:dyDescent="0.3">
      <c r="A1982">
        <v>1981</v>
      </c>
      <c r="B1982" t="s">
        <v>25</v>
      </c>
      <c r="C1982" t="s">
        <v>7</v>
      </c>
      <c r="D1982" t="s">
        <v>8</v>
      </c>
      <c r="E1982" t="s">
        <v>21</v>
      </c>
      <c r="F1982" t="s">
        <v>20</v>
      </c>
    </row>
    <row r="1983" spans="1:6" x14ac:dyDescent="0.3">
      <c r="A1983">
        <v>1982</v>
      </c>
      <c r="B1983" t="s">
        <v>25</v>
      </c>
      <c r="C1983" t="s">
        <v>24</v>
      </c>
      <c r="D1983" t="s">
        <v>1</v>
      </c>
      <c r="E1983" t="s">
        <v>15</v>
      </c>
      <c r="F1983" t="s">
        <v>20</v>
      </c>
    </row>
    <row r="1984" spans="1:6" x14ac:dyDescent="0.3">
      <c r="A1984">
        <v>1983</v>
      </c>
      <c r="B1984" t="s">
        <v>11</v>
      </c>
      <c r="C1984" t="s">
        <v>7</v>
      </c>
      <c r="D1984" t="s">
        <v>8</v>
      </c>
      <c r="E1984" t="s">
        <v>21</v>
      </c>
      <c r="F1984" t="s">
        <v>20</v>
      </c>
    </row>
    <row r="1985" spans="1:6" x14ac:dyDescent="0.3">
      <c r="A1985">
        <v>1984</v>
      </c>
      <c r="B1985" t="s">
        <v>11</v>
      </c>
      <c r="C1985" t="s">
        <v>12</v>
      </c>
      <c r="D1985" t="s">
        <v>8</v>
      </c>
      <c r="E1985" t="s">
        <v>9</v>
      </c>
      <c r="F1985" t="s">
        <v>13</v>
      </c>
    </row>
    <row r="1986" spans="1:6" x14ac:dyDescent="0.3">
      <c r="A1986">
        <v>1985</v>
      </c>
      <c r="B1986" t="s">
        <v>16</v>
      </c>
      <c r="C1986" t="s">
        <v>7</v>
      </c>
      <c r="D1986" t="s">
        <v>8</v>
      </c>
      <c r="E1986" t="s">
        <v>21</v>
      </c>
      <c r="F1986" t="s">
        <v>23</v>
      </c>
    </row>
    <row r="1987" spans="1:6" x14ac:dyDescent="0.3">
      <c r="A1987">
        <v>1986</v>
      </c>
      <c r="B1987" t="s">
        <v>11</v>
      </c>
      <c r="C1987" t="s">
        <v>7</v>
      </c>
      <c r="D1987" t="s">
        <v>1</v>
      </c>
      <c r="E1987" t="s">
        <v>9</v>
      </c>
      <c r="F1987" t="s">
        <v>23</v>
      </c>
    </row>
    <row r="1988" spans="1:6" x14ac:dyDescent="0.3">
      <c r="A1988">
        <v>1987</v>
      </c>
      <c r="B1988" t="s">
        <v>14</v>
      </c>
      <c r="C1988" t="s">
        <v>12</v>
      </c>
      <c r="D1988" t="s">
        <v>1</v>
      </c>
      <c r="E1988" t="s">
        <v>21</v>
      </c>
      <c r="F1988" t="s">
        <v>13</v>
      </c>
    </row>
    <row r="1989" spans="1:6" x14ac:dyDescent="0.3">
      <c r="A1989">
        <v>1988</v>
      </c>
      <c r="B1989" t="s">
        <v>16</v>
      </c>
      <c r="C1989" t="s">
        <v>7</v>
      </c>
      <c r="D1989" t="s">
        <v>8</v>
      </c>
      <c r="E1989" t="s">
        <v>9</v>
      </c>
      <c r="F1989" t="s">
        <v>20</v>
      </c>
    </row>
    <row r="1990" spans="1:6" x14ac:dyDescent="0.3">
      <c r="A1990">
        <v>1989</v>
      </c>
      <c r="B1990" t="s">
        <v>16</v>
      </c>
      <c r="C1990" t="s">
        <v>12</v>
      </c>
      <c r="D1990" t="s">
        <v>8</v>
      </c>
      <c r="E1990" t="s">
        <v>15</v>
      </c>
      <c r="F1990" t="s">
        <v>20</v>
      </c>
    </row>
    <row r="1991" spans="1:6" x14ac:dyDescent="0.3">
      <c r="A1991">
        <v>1990</v>
      </c>
      <c r="B1991" t="s">
        <v>16</v>
      </c>
      <c r="C1991" t="s">
        <v>7</v>
      </c>
      <c r="D1991" t="s">
        <v>1</v>
      </c>
      <c r="E1991" t="s">
        <v>9</v>
      </c>
      <c r="F1991" t="s">
        <v>10</v>
      </c>
    </row>
    <row r="1992" spans="1:6" x14ac:dyDescent="0.3">
      <c r="A1992">
        <v>1991</v>
      </c>
      <c r="B1992" t="s">
        <v>11</v>
      </c>
      <c r="C1992" t="s">
        <v>12</v>
      </c>
      <c r="D1992" t="s">
        <v>1</v>
      </c>
      <c r="E1992" t="s">
        <v>9</v>
      </c>
      <c r="F1992" t="s">
        <v>13</v>
      </c>
    </row>
    <row r="1993" spans="1:6" x14ac:dyDescent="0.3">
      <c r="A1993">
        <v>1992</v>
      </c>
      <c r="B1993" t="s">
        <v>11</v>
      </c>
      <c r="C1993" t="s">
        <v>24</v>
      </c>
      <c r="D1993" t="s">
        <v>8</v>
      </c>
      <c r="E1993" t="s">
        <v>9</v>
      </c>
      <c r="F1993" t="s">
        <v>23</v>
      </c>
    </row>
    <row r="1994" spans="1:6" x14ac:dyDescent="0.3">
      <c r="A1994">
        <v>1993</v>
      </c>
      <c r="B1994" t="s">
        <v>18</v>
      </c>
      <c r="C1994" t="s">
        <v>12</v>
      </c>
      <c r="D1994" t="s">
        <v>22</v>
      </c>
      <c r="E1994" t="s">
        <v>19</v>
      </c>
      <c r="F1994" t="s">
        <v>10</v>
      </c>
    </row>
    <row r="1995" spans="1:6" x14ac:dyDescent="0.3">
      <c r="A1995">
        <v>1994</v>
      </c>
      <c r="B1995" t="s">
        <v>25</v>
      </c>
      <c r="C1995" t="s">
        <v>12</v>
      </c>
      <c r="D1995" t="s">
        <v>1</v>
      </c>
      <c r="E1995" t="s">
        <v>21</v>
      </c>
      <c r="F1995" t="s">
        <v>10</v>
      </c>
    </row>
    <row r="1996" spans="1:6" x14ac:dyDescent="0.3">
      <c r="A1996">
        <v>1995</v>
      </c>
      <c r="B1996" t="s">
        <v>11</v>
      </c>
      <c r="C1996" t="s">
        <v>12</v>
      </c>
      <c r="D1996" t="s">
        <v>22</v>
      </c>
      <c r="E1996" t="s">
        <v>9</v>
      </c>
      <c r="F1996" t="s">
        <v>20</v>
      </c>
    </row>
    <row r="1997" spans="1:6" x14ac:dyDescent="0.3">
      <c r="A1997">
        <v>1996</v>
      </c>
      <c r="B1997" t="s">
        <v>11</v>
      </c>
      <c r="C1997" t="s">
        <v>7</v>
      </c>
      <c r="D1997" t="s">
        <v>8</v>
      </c>
      <c r="E1997" t="s">
        <v>21</v>
      </c>
      <c r="F1997" t="s">
        <v>20</v>
      </c>
    </row>
    <row r="1998" spans="1:6" x14ac:dyDescent="0.3">
      <c r="A1998">
        <v>1997</v>
      </c>
      <c r="B1998" t="s">
        <v>16</v>
      </c>
      <c r="C1998" t="s">
        <v>7</v>
      </c>
      <c r="D1998" t="s">
        <v>8</v>
      </c>
      <c r="E1998" t="s">
        <v>9</v>
      </c>
      <c r="F1998" t="s">
        <v>13</v>
      </c>
    </row>
    <row r="1999" spans="1:6" x14ac:dyDescent="0.3">
      <c r="A1999">
        <v>1998</v>
      </c>
      <c r="B1999" t="s">
        <v>14</v>
      </c>
      <c r="C1999" t="s">
        <v>12</v>
      </c>
      <c r="D1999" t="s">
        <v>8</v>
      </c>
      <c r="E1999" t="s">
        <v>9</v>
      </c>
      <c r="F1999" t="s">
        <v>10</v>
      </c>
    </row>
    <row r="2000" spans="1:6" x14ac:dyDescent="0.3">
      <c r="A2000">
        <v>1999</v>
      </c>
      <c r="B2000" t="s">
        <v>16</v>
      </c>
      <c r="C2000" t="s">
        <v>12</v>
      </c>
      <c r="D2000" t="s">
        <v>8</v>
      </c>
      <c r="E2000" t="s">
        <v>21</v>
      </c>
      <c r="F2000" t="s">
        <v>23</v>
      </c>
    </row>
    <row r="2001" spans="1:6" x14ac:dyDescent="0.3">
      <c r="A2001">
        <v>2000</v>
      </c>
      <c r="B2001" t="s">
        <v>14</v>
      </c>
      <c r="C2001" t="s">
        <v>7</v>
      </c>
      <c r="D2001" t="s">
        <v>8</v>
      </c>
      <c r="E2001" t="s">
        <v>9</v>
      </c>
      <c r="F2001" t="s">
        <v>13</v>
      </c>
    </row>
    <row r="2002" spans="1:6" x14ac:dyDescent="0.3">
      <c r="A2002">
        <v>2001</v>
      </c>
      <c r="B2002" t="s">
        <v>14</v>
      </c>
      <c r="C2002" t="s">
        <v>24</v>
      </c>
      <c r="D2002" t="s">
        <v>1</v>
      </c>
      <c r="E2002" t="s">
        <v>9</v>
      </c>
      <c r="F2002" t="s">
        <v>20</v>
      </c>
    </row>
    <row r="2003" spans="1:6" x14ac:dyDescent="0.3">
      <c r="A2003">
        <v>2002</v>
      </c>
      <c r="B2003" t="s">
        <v>14</v>
      </c>
      <c r="C2003" t="s">
        <v>7</v>
      </c>
      <c r="D2003" t="s">
        <v>1</v>
      </c>
      <c r="E2003" t="s">
        <v>9</v>
      </c>
      <c r="F2003" t="s">
        <v>23</v>
      </c>
    </row>
    <row r="2004" spans="1:6" x14ac:dyDescent="0.3">
      <c r="A2004">
        <v>2003</v>
      </c>
      <c r="B2004" t="s">
        <v>16</v>
      </c>
      <c r="C2004" t="s">
        <v>12</v>
      </c>
      <c r="D2004" t="s">
        <v>22</v>
      </c>
      <c r="E2004" t="s">
        <v>15</v>
      </c>
      <c r="F2004" t="s">
        <v>20</v>
      </c>
    </row>
    <row r="2005" spans="1:6" x14ac:dyDescent="0.3">
      <c r="A2005">
        <v>2004</v>
      </c>
      <c r="B2005" t="s">
        <v>18</v>
      </c>
      <c r="C2005" t="s">
        <v>7</v>
      </c>
      <c r="D2005" t="s">
        <v>8</v>
      </c>
      <c r="E2005" t="s">
        <v>21</v>
      </c>
      <c r="F2005" t="s">
        <v>23</v>
      </c>
    </row>
    <row r="2006" spans="1:6" x14ac:dyDescent="0.3">
      <c r="A2006">
        <v>2005</v>
      </c>
      <c r="B2006" t="s">
        <v>16</v>
      </c>
      <c r="C2006" t="s">
        <v>12</v>
      </c>
      <c r="D2006" t="s">
        <v>22</v>
      </c>
      <c r="E2006" t="s">
        <v>21</v>
      </c>
      <c r="F2006" t="s">
        <v>13</v>
      </c>
    </row>
    <row r="2007" spans="1:6" x14ac:dyDescent="0.3">
      <c r="A2007">
        <v>2006</v>
      </c>
      <c r="B2007" t="s">
        <v>11</v>
      </c>
      <c r="C2007" t="s">
        <v>24</v>
      </c>
      <c r="D2007" t="s">
        <v>8</v>
      </c>
      <c r="E2007" t="s">
        <v>9</v>
      </c>
      <c r="F2007" t="s">
        <v>20</v>
      </c>
    </row>
    <row r="2008" spans="1:6" x14ac:dyDescent="0.3">
      <c r="A2008">
        <v>2007</v>
      </c>
      <c r="B2008" t="s">
        <v>14</v>
      </c>
      <c r="C2008" t="s">
        <v>7</v>
      </c>
      <c r="D2008" t="s">
        <v>8</v>
      </c>
      <c r="E2008" t="s">
        <v>9</v>
      </c>
      <c r="F2008" t="s">
        <v>23</v>
      </c>
    </row>
    <row r="2009" spans="1:6" x14ac:dyDescent="0.3">
      <c r="A2009">
        <v>2008</v>
      </c>
      <c r="B2009" t="s">
        <v>11</v>
      </c>
      <c r="C2009" t="s">
        <v>12</v>
      </c>
      <c r="D2009" t="s">
        <v>22</v>
      </c>
      <c r="E2009" t="s">
        <v>21</v>
      </c>
      <c r="F2009" t="s">
        <v>13</v>
      </c>
    </row>
    <row r="2010" spans="1:6" x14ac:dyDescent="0.3">
      <c r="A2010">
        <v>2009</v>
      </c>
      <c r="B2010" t="s">
        <v>16</v>
      </c>
      <c r="C2010" t="s">
        <v>7</v>
      </c>
      <c r="D2010" t="s">
        <v>1</v>
      </c>
      <c r="E2010" t="s">
        <v>21</v>
      </c>
      <c r="F2010" t="s">
        <v>23</v>
      </c>
    </row>
    <row r="2011" spans="1:6" x14ac:dyDescent="0.3">
      <c r="A2011">
        <v>2010</v>
      </c>
      <c r="B2011" t="s">
        <v>16</v>
      </c>
      <c r="C2011" t="s">
        <v>12</v>
      </c>
      <c r="D2011" t="s">
        <v>22</v>
      </c>
      <c r="E2011" t="s">
        <v>21</v>
      </c>
      <c r="F2011" t="s">
        <v>20</v>
      </c>
    </row>
    <row r="2012" spans="1:6" x14ac:dyDescent="0.3">
      <c r="A2012">
        <v>2011</v>
      </c>
      <c r="B2012" t="s">
        <v>18</v>
      </c>
      <c r="C2012" t="s">
        <v>7</v>
      </c>
      <c r="D2012" t="s">
        <v>8</v>
      </c>
      <c r="E2012" t="s">
        <v>19</v>
      </c>
      <c r="F2012" t="s">
        <v>13</v>
      </c>
    </row>
    <row r="2013" spans="1:6" x14ac:dyDescent="0.3">
      <c r="A2013">
        <v>2012</v>
      </c>
      <c r="B2013" t="s">
        <v>18</v>
      </c>
      <c r="C2013" t="s">
        <v>7</v>
      </c>
      <c r="D2013" t="s">
        <v>1</v>
      </c>
      <c r="E2013" t="s">
        <v>19</v>
      </c>
      <c r="F2013" t="s">
        <v>23</v>
      </c>
    </row>
    <row r="2014" spans="1:6" x14ac:dyDescent="0.3">
      <c r="A2014">
        <v>2013</v>
      </c>
      <c r="B2014" t="s">
        <v>16</v>
      </c>
      <c r="C2014" t="s">
        <v>24</v>
      </c>
      <c r="D2014" t="s">
        <v>1</v>
      </c>
      <c r="E2014" t="s">
        <v>9</v>
      </c>
      <c r="F2014" t="s">
        <v>13</v>
      </c>
    </row>
    <row r="2015" spans="1:6" x14ac:dyDescent="0.3">
      <c r="A2015">
        <v>2014</v>
      </c>
      <c r="B2015" t="s">
        <v>6</v>
      </c>
      <c r="C2015" t="s">
        <v>12</v>
      </c>
      <c r="D2015" t="s">
        <v>1</v>
      </c>
      <c r="E2015" t="s">
        <v>9</v>
      </c>
      <c r="F2015" t="s">
        <v>13</v>
      </c>
    </row>
    <row r="2016" spans="1:6" x14ac:dyDescent="0.3">
      <c r="A2016">
        <v>2015</v>
      </c>
      <c r="B2016" t="s">
        <v>14</v>
      </c>
      <c r="C2016" t="s">
        <v>7</v>
      </c>
      <c r="D2016" t="s">
        <v>8</v>
      </c>
      <c r="E2016" t="s">
        <v>9</v>
      </c>
      <c r="F2016" t="s">
        <v>20</v>
      </c>
    </row>
    <row r="2017" spans="1:6" x14ac:dyDescent="0.3">
      <c r="A2017">
        <v>2016</v>
      </c>
      <c r="B2017" t="s">
        <v>14</v>
      </c>
      <c r="C2017" t="s">
        <v>7</v>
      </c>
      <c r="D2017" t="s">
        <v>22</v>
      </c>
      <c r="E2017" t="s">
        <v>21</v>
      </c>
      <c r="F2017" t="s">
        <v>20</v>
      </c>
    </row>
    <row r="2018" spans="1:6" x14ac:dyDescent="0.3">
      <c r="A2018">
        <v>2017</v>
      </c>
      <c r="B2018" t="s">
        <v>25</v>
      </c>
      <c r="C2018" t="s">
        <v>7</v>
      </c>
      <c r="D2018" t="s">
        <v>22</v>
      </c>
      <c r="E2018" t="s">
        <v>21</v>
      </c>
      <c r="F2018" t="s">
        <v>10</v>
      </c>
    </row>
    <row r="2019" spans="1:6" x14ac:dyDescent="0.3">
      <c r="A2019">
        <v>2018</v>
      </c>
      <c r="B2019" t="s">
        <v>6</v>
      </c>
      <c r="C2019" t="s">
        <v>7</v>
      </c>
      <c r="D2019" t="s">
        <v>22</v>
      </c>
      <c r="E2019" t="s">
        <v>19</v>
      </c>
      <c r="F2019" t="s">
        <v>10</v>
      </c>
    </row>
    <row r="2020" spans="1:6" x14ac:dyDescent="0.3">
      <c r="A2020">
        <v>2019</v>
      </c>
      <c r="B2020" t="s">
        <v>25</v>
      </c>
      <c r="C2020" t="s">
        <v>7</v>
      </c>
      <c r="D2020" t="s">
        <v>22</v>
      </c>
      <c r="E2020" t="s">
        <v>9</v>
      </c>
      <c r="F2020" t="s">
        <v>20</v>
      </c>
    </row>
    <row r="2021" spans="1:6" x14ac:dyDescent="0.3">
      <c r="A2021">
        <v>2020</v>
      </c>
      <c r="B2021" t="s">
        <v>6</v>
      </c>
      <c r="C2021" t="s">
        <v>12</v>
      </c>
      <c r="D2021" t="s">
        <v>8</v>
      </c>
      <c r="E2021" t="s">
        <v>21</v>
      </c>
      <c r="F2021" t="s">
        <v>10</v>
      </c>
    </row>
    <row r="2022" spans="1:6" x14ac:dyDescent="0.3">
      <c r="A2022">
        <v>2021</v>
      </c>
      <c r="B2022" t="s">
        <v>11</v>
      </c>
      <c r="C2022" t="s">
        <v>12</v>
      </c>
      <c r="D2022" t="s">
        <v>1</v>
      </c>
      <c r="E2022" t="s">
        <v>15</v>
      </c>
      <c r="F2022" t="s">
        <v>13</v>
      </c>
    </row>
    <row r="2023" spans="1:6" x14ac:dyDescent="0.3">
      <c r="A2023">
        <v>2022</v>
      </c>
      <c r="B2023" t="s">
        <v>6</v>
      </c>
      <c r="C2023" t="s">
        <v>7</v>
      </c>
      <c r="D2023" t="s">
        <v>8</v>
      </c>
      <c r="E2023" t="s">
        <v>21</v>
      </c>
      <c r="F2023" t="s">
        <v>20</v>
      </c>
    </row>
    <row r="2024" spans="1:6" x14ac:dyDescent="0.3">
      <c r="A2024">
        <v>2023</v>
      </c>
      <c r="B2024" t="s">
        <v>16</v>
      </c>
      <c r="C2024" t="s">
        <v>7</v>
      </c>
      <c r="D2024" t="s">
        <v>22</v>
      </c>
      <c r="E2024" t="s">
        <v>9</v>
      </c>
      <c r="F2024" t="s">
        <v>10</v>
      </c>
    </row>
    <row r="2025" spans="1:6" x14ac:dyDescent="0.3">
      <c r="A2025">
        <v>2024</v>
      </c>
      <c r="B2025" t="s">
        <v>25</v>
      </c>
      <c r="C2025" t="s">
        <v>12</v>
      </c>
      <c r="D2025" t="s">
        <v>22</v>
      </c>
      <c r="E2025" t="s">
        <v>15</v>
      </c>
      <c r="F2025" t="s">
        <v>13</v>
      </c>
    </row>
    <row r="2026" spans="1:6" x14ac:dyDescent="0.3">
      <c r="A2026">
        <v>2025</v>
      </c>
      <c r="B2026" t="s">
        <v>25</v>
      </c>
      <c r="C2026" t="s">
        <v>12</v>
      </c>
      <c r="D2026" t="s">
        <v>8</v>
      </c>
      <c r="E2026" t="s">
        <v>21</v>
      </c>
      <c r="F2026" t="s">
        <v>20</v>
      </c>
    </row>
    <row r="2027" spans="1:6" x14ac:dyDescent="0.3">
      <c r="A2027">
        <v>2026</v>
      </c>
      <c r="B2027" t="s">
        <v>6</v>
      </c>
      <c r="C2027" t="s">
        <v>12</v>
      </c>
      <c r="D2027" t="s">
        <v>22</v>
      </c>
      <c r="E2027" t="s">
        <v>21</v>
      </c>
      <c r="F2027" t="s">
        <v>20</v>
      </c>
    </row>
    <row r="2028" spans="1:6" x14ac:dyDescent="0.3">
      <c r="A2028">
        <v>2027</v>
      </c>
      <c r="B2028" t="s">
        <v>25</v>
      </c>
      <c r="C2028" t="s">
        <v>7</v>
      </c>
      <c r="D2028" t="s">
        <v>1</v>
      </c>
      <c r="E2028" t="s">
        <v>15</v>
      </c>
      <c r="F2028" t="s">
        <v>23</v>
      </c>
    </row>
    <row r="2029" spans="1:6" x14ac:dyDescent="0.3">
      <c r="A2029">
        <v>2028</v>
      </c>
      <c r="B2029" t="s">
        <v>11</v>
      </c>
      <c r="C2029" t="s">
        <v>12</v>
      </c>
      <c r="D2029" t="s">
        <v>8</v>
      </c>
      <c r="E2029" t="s">
        <v>9</v>
      </c>
      <c r="F2029" t="s">
        <v>23</v>
      </c>
    </row>
    <row r="2030" spans="1:6" x14ac:dyDescent="0.3">
      <c r="A2030">
        <v>2029</v>
      </c>
      <c r="B2030" t="s">
        <v>18</v>
      </c>
      <c r="C2030" t="s">
        <v>7</v>
      </c>
      <c r="D2030" t="s">
        <v>8</v>
      </c>
      <c r="E2030" t="s">
        <v>19</v>
      </c>
      <c r="F2030" t="s">
        <v>20</v>
      </c>
    </row>
    <row r="2031" spans="1:6" x14ac:dyDescent="0.3">
      <c r="A2031">
        <v>2030</v>
      </c>
      <c r="B2031" t="s">
        <v>11</v>
      </c>
      <c r="C2031" t="s">
        <v>7</v>
      </c>
      <c r="D2031" t="s">
        <v>22</v>
      </c>
      <c r="E2031" t="s">
        <v>21</v>
      </c>
      <c r="F2031" t="s">
        <v>23</v>
      </c>
    </row>
    <row r="2032" spans="1:6" x14ac:dyDescent="0.3">
      <c r="A2032">
        <v>2031</v>
      </c>
      <c r="B2032" t="s">
        <v>16</v>
      </c>
      <c r="C2032" t="s">
        <v>12</v>
      </c>
      <c r="D2032" t="s">
        <v>8</v>
      </c>
      <c r="E2032" t="s">
        <v>9</v>
      </c>
      <c r="F2032" t="s">
        <v>20</v>
      </c>
    </row>
    <row r="2033" spans="1:6" x14ac:dyDescent="0.3">
      <c r="A2033">
        <v>2032</v>
      </c>
      <c r="B2033" t="s">
        <v>14</v>
      </c>
      <c r="C2033" t="s">
        <v>7</v>
      </c>
      <c r="D2033" t="s">
        <v>1</v>
      </c>
      <c r="E2033" t="s">
        <v>19</v>
      </c>
      <c r="F2033" t="s">
        <v>10</v>
      </c>
    </row>
    <row r="2034" spans="1:6" x14ac:dyDescent="0.3">
      <c r="A2034">
        <v>2033</v>
      </c>
      <c r="B2034" t="s">
        <v>18</v>
      </c>
      <c r="C2034" t="s">
        <v>7</v>
      </c>
      <c r="D2034" t="s">
        <v>22</v>
      </c>
      <c r="E2034" t="s">
        <v>21</v>
      </c>
      <c r="F2034" t="s">
        <v>13</v>
      </c>
    </row>
    <row r="2035" spans="1:6" x14ac:dyDescent="0.3">
      <c r="A2035">
        <v>2034</v>
      </c>
      <c r="B2035" t="s">
        <v>18</v>
      </c>
      <c r="C2035" t="s">
        <v>12</v>
      </c>
      <c r="D2035" t="s">
        <v>22</v>
      </c>
      <c r="E2035" t="s">
        <v>21</v>
      </c>
      <c r="F2035" t="s">
        <v>13</v>
      </c>
    </row>
    <row r="2036" spans="1:6" x14ac:dyDescent="0.3">
      <c r="A2036">
        <v>2035</v>
      </c>
      <c r="B2036" t="s">
        <v>16</v>
      </c>
      <c r="C2036" t="s">
        <v>7</v>
      </c>
      <c r="D2036" t="s">
        <v>22</v>
      </c>
      <c r="E2036" t="s">
        <v>21</v>
      </c>
      <c r="F2036" t="s">
        <v>10</v>
      </c>
    </row>
    <row r="2037" spans="1:6" x14ac:dyDescent="0.3">
      <c r="A2037">
        <v>2036</v>
      </c>
      <c r="B2037" t="s">
        <v>6</v>
      </c>
      <c r="C2037" t="s">
        <v>12</v>
      </c>
      <c r="D2037" t="s">
        <v>1</v>
      </c>
      <c r="E2037" t="s">
        <v>9</v>
      </c>
      <c r="F2037" t="s">
        <v>13</v>
      </c>
    </row>
    <row r="2038" spans="1:6" x14ac:dyDescent="0.3">
      <c r="A2038">
        <v>2037</v>
      </c>
      <c r="B2038" t="s">
        <v>18</v>
      </c>
      <c r="C2038" t="s">
        <v>7</v>
      </c>
      <c r="D2038" t="s">
        <v>1</v>
      </c>
      <c r="E2038" t="s">
        <v>21</v>
      </c>
      <c r="F2038" t="s">
        <v>13</v>
      </c>
    </row>
    <row r="2039" spans="1:6" x14ac:dyDescent="0.3">
      <c r="A2039">
        <v>2038</v>
      </c>
      <c r="B2039" t="s">
        <v>18</v>
      </c>
      <c r="C2039" t="s">
        <v>24</v>
      </c>
      <c r="D2039" t="s">
        <v>22</v>
      </c>
      <c r="E2039" t="s">
        <v>9</v>
      </c>
      <c r="F2039" t="s">
        <v>13</v>
      </c>
    </row>
    <row r="2040" spans="1:6" x14ac:dyDescent="0.3">
      <c r="A2040">
        <v>2039</v>
      </c>
      <c r="B2040" t="s">
        <v>18</v>
      </c>
      <c r="C2040" t="s">
        <v>7</v>
      </c>
      <c r="D2040" t="s">
        <v>22</v>
      </c>
      <c r="E2040" t="s">
        <v>21</v>
      </c>
      <c r="F2040" t="s">
        <v>13</v>
      </c>
    </row>
    <row r="2041" spans="1:6" x14ac:dyDescent="0.3">
      <c r="A2041">
        <v>2040</v>
      </c>
      <c r="B2041" t="s">
        <v>11</v>
      </c>
      <c r="C2041" t="s">
        <v>12</v>
      </c>
      <c r="D2041" t="s">
        <v>8</v>
      </c>
      <c r="E2041" t="s">
        <v>21</v>
      </c>
      <c r="F2041" t="s">
        <v>13</v>
      </c>
    </row>
    <row r="2042" spans="1:6" x14ac:dyDescent="0.3">
      <c r="A2042">
        <v>2041</v>
      </c>
      <c r="B2042" t="s">
        <v>11</v>
      </c>
      <c r="C2042" t="s">
        <v>7</v>
      </c>
      <c r="D2042" t="s">
        <v>1</v>
      </c>
      <c r="E2042" t="s">
        <v>9</v>
      </c>
      <c r="F2042" t="s">
        <v>13</v>
      </c>
    </row>
    <row r="2043" spans="1:6" x14ac:dyDescent="0.3">
      <c r="A2043">
        <v>2042</v>
      </c>
      <c r="B2043" t="s">
        <v>11</v>
      </c>
      <c r="C2043" t="s">
        <v>7</v>
      </c>
      <c r="D2043" t="s">
        <v>1</v>
      </c>
      <c r="E2043" t="s">
        <v>9</v>
      </c>
      <c r="F2043" t="s">
        <v>13</v>
      </c>
    </row>
    <row r="2044" spans="1:6" x14ac:dyDescent="0.3">
      <c r="A2044">
        <v>2043</v>
      </c>
      <c r="B2044" t="s">
        <v>18</v>
      </c>
      <c r="C2044" t="s">
        <v>7</v>
      </c>
      <c r="D2044" t="s">
        <v>1</v>
      </c>
      <c r="E2044" t="s">
        <v>19</v>
      </c>
      <c r="F2044" t="s">
        <v>10</v>
      </c>
    </row>
    <row r="2045" spans="1:6" x14ac:dyDescent="0.3">
      <c r="A2045">
        <v>2044</v>
      </c>
      <c r="B2045" t="s">
        <v>18</v>
      </c>
      <c r="C2045" t="s">
        <v>12</v>
      </c>
      <c r="D2045" t="s">
        <v>22</v>
      </c>
      <c r="E2045" t="s">
        <v>19</v>
      </c>
      <c r="F2045" t="s">
        <v>10</v>
      </c>
    </row>
    <row r="2046" spans="1:6" x14ac:dyDescent="0.3">
      <c r="A2046">
        <v>2045</v>
      </c>
      <c r="B2046" t="s">
        <v>6</v>
      </c>
      <c r="C2046" t="s">
        <v>7</v>
      </c>
      <c r="D2046" t="s">
        <v>1</v>
      </c>
      <c r="E2046" t="s">
        <v>9</v>
      </c>
      <c r="F2046" t="s">
        <v>20</v>
      </c>
    </row>
    <row r="2047" spans="1:6" x14ac:dyDescent="0.3">
      <c r="A2047">
        <v>2046</v>
      </c>
      <c r="B2047" t="s">
        <v>14</v>
      </c>
      <c r="C2047" t="s">
        <v>7</v>
      </c>
      <c r="D2047" t="s">
        <v>1</v>
      </c>
      <c r="E2047" t="s">
        <v>9</v>
      </c>
      <c r="F2047" t="s">
        <v>10</v>
      </c>
    </row>
    <row r="2048" spans="1:6" x14ac:dyDescent="0.3">
      <c r="A2048">
        <v>2047</v>
      </c>
      <c r="B2048" t="s">
        <v>18</v>
      </c>
      <c r="C2048" t="s">
        <v>7</v>
      </c>
      <c r="D2048" t="s">
        <v>1</v>
      </c>
      <c r="E2048" t="s">
        <v>21</v>
      </c>
      <c r="F2048" t="s">
        <v>20</v>
      </c>
    </row>
    <row r="2049" spans="1:6" x14ac:dyDescent="0.3">
      <c r="A2049">
        <v>2048</v>
      </c>
      <c r="B2049" t="s">
        <v>25</v>
      </c>
      <c r="C2049" t="s">
        <v>7</v>
      </c>
      <c r="D2049" t="s">
        <v>8</v>
      </c>
      <c r="E2049" t="s">
        <v>9</v>
      </c>
      <c r="F2049" t="s">
        <v>13</v>
      </c>
    </row>
    <row r="2050" spans="1:6" x14ac:dyDescent="0.3">
      <c r="A2050">
        <v>2049</v>
      </c>
      <c r="B2050" t="s">
        <v>18</v>
      </c>
      <c r="C2050" t="s">
        <v>12</v>
      </c>
      <c r="D2050" t="s">
        <v>8</v>
      </c>
      <c r="E2050" t="s">
        <v>21</v>
      </c>
      <c r="F2050" t="s">
        <v>20</v>
      </c>
    </row>
    <row r="2051" spans="1:6" x14ac:dyDescent="0.3">
      <c r="A2051">
        <v>2050</v>
      </c>
      <c r="B2051" t="s">
        <v>18</v>
      </c>
      <c r="C2051" t="s">
        <v>7</v>
      </c>
      <c r="D2051" t="s">
        <v>22</v>
      </c>
      <c r="E2051" t="s">
        <v>21</v>
      </c>
      <c r="F2051" t="s">
        <v>23</v>
      </c>
    </row>
    <row r="2052" spans="1:6" x14ac:dyDescent="0.3">
      <c r="A2052">
        <v>2051</v>
      </c>
      <c r="B2052" t="s">
        <v>25</v>
      </c>
      <c r="C2052" t="s">
        <v>12</v>
      </c>
      <c r="D2052" t="s">
        <v>22</v>
      </c>
      <c r="E2052" t="s">
        <v>19</v>
      </c>
      <c r="F2052" t="s">
        <v>10</v>
      </c>
    </row>
    <row r="2053" spans="1:6" x14ac:dyDescent="0.3">
      <c r="A2053">
        <v>2052</v>
      </c>
      <c r="B2053" t="s">
        <v>14</v>
      </c>
      <c r="C2053" t="s">
        <v>7</v>
      </c>
      <c r="D2053" t="s">
        <v>22</v>
      </c>
      <c r="E2053" t="s">
        <v>9</v>
      </c>
      <c r="F2053" t="s">
        <v>20</v>
      </c>
    </row>
    <row r="2054" spans="1:6" x14ac:dyDescent="0.3">
      <c r="A2054">
        <v>2053</v>
      </c>
      <c r="B2054" t="s">
        <v>6</v>
      </c>
      <c r="C2054" t="s">
        <v>12</v>
      </c>
      <c r="D2054" t="s">
        <v>22</v>
      </c>
      <c r="E2054" t="s">
        <v>21</v>
      </c>
      <c r="F2054" t="s">
        <v>13</v>
      </c>
    </row>
    <row r="2055" spans="1:6" x14ac:dyDescent="0.3">
      <c r="A2055">
        <v>2054</v>
      </c>
      <c r="B2055" t="s">
        <v>25</v>
      </c>
      <c r="C2055" t="s">
        <v>7</v>
      </c>
      <c r="D2055" t="s">
        <v>8</v>
      </c>
      <c r="E2055" t="s">
        <v>9</v>
      </c>
      <c r="F2055" t="s">
        <v>20</v>
      </c>
    </row>
    <row r="2056" spans="1:6" x14ac:dyDescent="0.3">
      <c r="A2056">
        <v>2055</v>
      </c>
      <c r="B2056" t="s">
        <v>6</v>
      </c>
      <c r="C2056" t="s">
        <v>7</v>
      </c>
      <c r="D2056" t="s">
        <v>22</v>
      </c>
      <c r="E2056" t="s">
        <v>19</v>
      </c>
      <c r="F2056" t="s">
        <v>10</v>
      </c>
    </row>
    <row r="2057" spans="1:6" x14ac:dyDescent="0.3">
      <c r="A2057">
        <v>2056</v>
      </c>
      <c r="B2057" t="s">
        <v>6</v>
      </c>
      <c r="C2057" t="s">
        <v>12</v>
      </c>
      <c r="D2057" t="s">
        <v>1</v>
      </c>
      <c r="E2057" t="s">
        <v>21</v>
      </c>
      <c r="F2057" t="s">
        <v>23</v>
      </c>
    </row>
    <row r="2058" spans="1:6" x14ac:dyDescent="0.3">
      <c r="A2058">
        <v>2057</v>
      </c>
      <c r="B2058" t="s">
        <v>14</v>
      </c>
      <c r="C2058" t="s">
        <v>7</v>
      </c>
      <c r="D2058" t="s">
        <v>8</v>
      </c>
      <c r="E2058" t="s">
        <v>9</v>
      </c>
      <c r="F2058" t="s">
        <v>13</v>
      </c>
    </row>
    <row r="2059" spans="1:6" x14ac:dyDescent="0.3">
      <c r="A2059">
        <v>2058</v>
      </c>
      <c r="B2059" t="s">
        <v>16</v>
      </c>
      <c r="C2059" t="s">
        <v>7</v>
      </c>
      <c r="D2059" t="s">
        <v>8</v>
      </c>
      <c r="E2059" t="s">
        <v>9</v>
      </c>
      <c r="F2059" t="s">
        <v>23</v>
      </c>
    </row>
    <row r="2060" spans="1:6" x14ac:dyDescent="0.3">
      <c r="A2060">
        <v>2059</v>
      </c>
      <c r="B2060" t="s">
        <v>18</v>
      </c>
      <c r="C2060" t="s">
        <v>7</v>
      </c>
      <c r="D2060" t="s">
        <v>1</v>
      </c>
      <c r="E2060" t="s">
        <v>9</v>
      </c>
      <c r="F2060" t="s">
        <v>13</v>
      </c>
    </row>
    <row r="2061" spans="1:6" x14ac:dyDescent="0.3">
      <c r="A2061">
        <v>2060</v>
      </c>
      <c r="B2061" t="s">
        <v>6</v>
      </c>
      <c r="C2061" t="s">
        <v>7</v>
      </c>
      <c r="D2061" t="s">
        <v>8</v>
      </c>
      <c r="E2061" t="s">
        <v>9</v>
      </c>
      <c r="F2061" t="s">
        <v>13</v>
      </c>
    </row>
    <row r="2062" spans="1:6" x14ac:dyDescent="0.3">
      <c r="A2062">
        <v>2061</v>
      </c>
      <c r="B2062" t="s">
        <v>6</v>
      </c>
      <c r="C2062" t="s">
        <v>7</v>
      </c>
      <c r="D2062" t="s">
        <v>1</v>
      </c>
      <c r="E2062" t="s">
        <v>21</v>
      </c>
      <c r="F2062" t="s">
        <v>10</v>
      </c>
    </row>
    <row r="2063" spans="1:6" x14ac:dyDescent="0.3">
      <c r="A2063">
        <v>2062</v>
      </c>
      <c r="B2063" t="s">
        <v>18</v>
      </c>
      <c r="C2063" t="s">
        <v>7</v>
      </c>
      <c r="D2063" t="s">
        <v>8</v>
      </c>
      <c r="E2063" t="s">
        <v>9</v>
      </c>
      <c r="F2063" t="s">
        <v>20</v>
      </c>
    </row>
    <row r="2064" spans="1:6" x14ac:dyDescent="0.3">
      <c r="A2064">
        <v>2063</v>
      </c>
      <c r="B2064" t="s">
        <v>6</v>
      </c>
      <c r="C2064" t="s">
        <v>12</v>
      </c>
      <c r="D2064" t="s">
        <v>22</v>
      </c>
      <c r="E2064" t="s">
        <v>19</v>
      </c>
      <c r="F2064" t="s">
        <v>10</v>
      </c>
    </row>
    <row r="2065" spans="1:6" x14ac:dyDescent="0.3">
      <c r="A2065">
        <v>2064</v>
      </c>
      <c r="B2065" t="s">
        <v>18</v>
      </c>
      <c r="C2065" t="s">
        <v>7</v>
      </c>
      <c r="D2065" t="s">
        <v>22</v>
      </c>
      <c r="E2065" t="s">
        <v>21</v>
      </c>
      <c r="F2065" t="s">
        <v>23</v>
      </c>
    </row>
    <row r="2066" spans="1:6" x14ac:dyDescent="0.3">
      <c r="A2066">
        <v>2065</v>
      </c>
      <c r="B2066" t="s">
        <v>18</v>
      </c>
      <c r="C2066" t="s">
        <v>12</v>
      </c>
      <c r="D2066" t="s">
        <v>1</v>
      </c>
      <c r="E2066" t="s">
        <v>21</v>
      </c>
      <c r="F2066" t="s">
        <v>10</v>
      </c>
    </row>
    <row r="2067" spans="1:6" x14ac:dyDescent="0.3">
      <c r="A2067">
        <v>2066</v>
      </c>
      <c r="B2067" t="s">
        <v>14</v>
      </c>
      <c r="C2067" t="s">
        <v>7</v>
      </c>
      <c r="D2067" t="s">
        <v>22</v>
      </c>
      <c r="E2067" t="s">
        <v>21</v>
      </c>
      <c r="F2067" t="s">
        <v>20</v>
      </c>
    </row>
    <row r="2068" spans="1:6" x14ac:dyDescent="0.3">
      <c r="A2068">
        <v>2067</v>
      </c>
      <c r="B2068" t="s">
        <v>18</v>
      </c>
      <c r="C2068" t="s">
        <v>7</v>
      </c>
      <c r="D2068" t="s">
        <v>8</v>
      </c>
      <c r="E2068" t="s">
        <v>19</v>
      </c>
      <c r="F2068" t="s">
        <v>10</v>
      </c>
    </row>
    <row r="2069" spans="1:6" x14ac:dyDescent="0.3">
      <c r="A2069">
        <v>2068</v>
      </c>
      <c r="B2069" t="s">
        <v>6</v>
      </c>
      <c r="C2069" t="s">
        <v>7</v>
      </c>
      <c r="D2069" t="s">
        <v>8</v>
      </c>
      <c r="E2069" t="s">
        <v>9</v>
      </c>
      <c r="F2069" t="s">
        <v>10</v>
      </c>
    </row>
    <row r="2070" spans="1:6" x14ac:dyDescent="0.3">
      <c r="A2070">
        <v>2069</v>
      </c>
      <c r="B2070" t="s">
        <v>25</v>
      </c>
      <c r="C2070" t="s">
        <v>7</v>
      </c>
      <c r="D2070" t="s">
        <v>22</v>
      </c>
      <c r="E2070" t="s">
        <v>9</v>
      </c>
      <c r="F2070" t="s">
        <v>20</v>
      </c>
    </row>
    <row r="2071" spans="1:6" x14ac:dyDescent="0.3">
      <c r="A2071">
        <v>2070</v>
      </c>
      <c r="B2071" t="s">
        <v>6</v>
      </c>
      <c r="C2071" t="s">
        <v>7</v>
      </c>
      <c r="D2071" t="s">
        <v>1</v>
      </c>
      <c r="E2071" t="s">
        <v>21</v>
      </c>
      <c r="F2071" t="s">
        <v>13</v>
      </c>
    </row>
    <row r="2072" spans="1:6" x14ac:dyDescent="0.3">
      <c r="A2072">
        <v>2071</v>
      </c>
      <c r="B2072" t="s">
        <v>25</v>
      </c>
      <c r="C2072" t="s">
        <v>7</v>
      </c>
      <c r="D2072" t="s">
        <v>22</v>
      </c>
      <c r="E2072" t="s">
        <v>9</v>
      </c>
      <c r="F2072" t="s">
        <v>23</v>
      </c>
    </row>
    <row r="2073" spans="1:6" x14ac:dyDescent="0.3">
      <c r="A2073">
        <v>2072</v>
      </c>
      <c r="B2073" t="s">
        <v>18</v>
      </c>
      <c r="C2073" t="s">
        <v>24</v>
      </c>
      <c r="D2073" t="s">
        <v>22</v>
      </c>
      <c r="E2073" t="s">
        <v>9</v>
      </c>
      <c r="F2073" t="s">
        <v>20</v>
      </c>
    </row>
    <row r="2074" spans="1:6" x14ac:dyDescent="0.3">
      <c r="A2074">
        <v>2073</v>
      </c>
      <c r="B2074" t="s">
        <v>14</v>
      </c>
      <c r="C2074" t="s">
        <v>12</v>
      </c>
      <c r="D2074" t="s">
        <v>22</v>
      </c>
      <c r="E2074" t="s">
        <v>15</v>
      </c>
      <c r="F2074" t="s">
        <v>13</v>
      </c>
    </row>
    <row r="2075" spans="1:6" x14ac:dyDescent="0.3">
      <c r="A2075">
        <v>2074</v>
      </c>
      <c r="B2075" t="s">
        <v>25</v>
      </c>
      <c r="C2075" t="s">
        <v>7</v>
      </c>
      <c r="D2075" t="s">
        <v>1</v>
      </c>
      <c r="E2075" t="s">
        <v>9</v>
      </c>
      <c r="F2075" t="s">
        <v>10</v>
      </c>
    </row>
    <row r="2076" spans="1:6" x14ac:dyDescent="0.3">
      <c r="A2076">
        <v>2075</v>
      </c>
      <c r="B2076" t="s">
        <v>16</v>
      </c>
      <c r="C2076" t="s">
        <v>12</v>
      </c>
      <c r="D2076" t="s">
        <v>8</v>
      </c>
      <c r="E2076" t="s">
        <v>15</v>
      </c>
      <c r="F2076" t="s">
        <v>23</v>
      </c>
    </row>
    <row r="2077" spans="1:6" x14ac:dyDescent="0.3">
      <c r="A2077">
        <v>2076</v>
      </c>
      <c r="B2077" t="s">
        <v>6</v>
      </c>
      <c r="C2077" t="s">
        <v>12</v>
      </c>
      <c r="D2077" t="s">
        <v>1</v>
      </c>
      <c r="E2077" t="s">
        <v>9</v>
      </c>
      <c r="F2077" t="s">
        <v>13</v>
      </c>
    </row>
    <row r="2078" spans="1:6" x14ac:dyDescent="0.3">
      <c r="A2078">
        <v>2077</v>
      </c>
      <c r="B2078" t="s">
        <v>6</v>
      </c>
      <c r="C2078" t="s">
        <v>7</v>
      </c>
      <c r="D2078" t="s">
        <v>8</v>
      </c>
      <c r="E2078" t="s">
        <v>21</v>
      </c>
      <c r="F2078" t="s">
        <v>13</v>
      </c>
    </row>
    <row r="2079" spans="1:6" x14ac:dyDescent="0.3">
      <c r="A2079">
        <v>2078</v>
      </c>
      <c r="B2079" t="s">
        <v>18</v>
      </c>
      <c r="C2079" t="s">
        <v>12</v>
      </c>
      <c r="D2079" t="s">
        <v>8</v>
      </c>
      <c r="E2079" t="s">
        <v>21</v>
      </c>
      <c r="F2079" t="s">
        <v>13</v>
      </c>
    </row>
    <row r="2080" spans="1:6" x14ac:dyDescent="0.3">
      <c r="A2080">
        <v>2079</v>
      </c>
      <c r="B2080" t="s">
        <v>6</v>
      </c>
      <c r="C2080" t="s">
        <v>12</v>
      </c>
      <c r="D2080" t="s">
        <v>1</v>
      </c>
      <c r="E2080" t="s">
        <v>15</v>
      </c>
      <c r="F2080" t="s">
        <v>13</v>
      </c>
    </row>
    <row r="2081" spans="1:6" x14ac:dyDescent="0.3">
      <c r="A2081">
        <v>2080</v>
      </c>
      <c r="B2081" t="s">
        <v>18</v>
      </c>
      <c r="C2081" t="s">
        <v>7</v>
      </c>
      <c r="D2081" t="s">
        <v>1</v>
      </c>
      <c r="E2081" t="s">
        <v>9</v>
      </c>
      <c r="F2081" t="s">
        <v>20</v>
      </c>
    </row>
    <row r="2082" spans="1:6" x14ac:dyDescent="0.3">
      <c r="A2082">
        <v>2081</v>
      </c>
      <c r="B2082" t="s">
        <v>25</v>
      </c>
      <c r="C2082" t="s">
        <v>12</v>
      </c>
      <c r="D2082" t="s">
        <v>8</v>
      </c>
      <c r="E2082" t="s">
        <v>19</v>
      </c>
      <c r="F2082" t="s">
        <v>10</v>
      </c>
    </row>
    <row r="2083" spans="1:6" x14ac:dyDescent="0.3">
      <c r="A2083">
        <v>2082</v>
      </c>
      <c r="B2083" t="s">
        <v>11</v>
      </c>
      <c r="C2083" t="s">
        <v>7</v>
      </c>
      <c r="D2083" t="s">
        <v>8</v>
      </c>
      <c r="E2083" t="s">
        <v>21</v>
      </c>
      <c r="F2083" t="s">
        <v>23</v>
      </c>
    </row>
    <row r="2084" spans="1:6" x14ac:dyDescent="0.3">
      <c r="A2084">
        <v>2083</v>
      </c>
      <c r="B2084" t="s">
        <v>6</v>
      </c>
      <c r="C2084" t="s">
        <v>7</v>
      </c>
      <c r="D2084" t="s">
        <v>22</v>
      </c>
      <c r="E2084" t="s">
        <v>21</v>
      </c>
      <c r="F2084" t="s">
        <v>13</v>
      </c>
    </row>
    <row r="2085" spans="1:6" x14ac:dyDescent="0.3">
      <c r="A2085">
        <v>2084</v>
      </c>
      <c r="B2085" t="s">
        <v>25</v>
      </c>
      <c r="C2085" t="s">
        <v>12</v>
      </c>
      <c r="D2085" t="s">
        <v>1</v>
      </c>
      <c r="E2085" t="s">
        <v>21</v>
      </c>
      <c r="F2085" t="s">
        <v>23</v>
      </c>
    </row>
    <row r="2086" spans="1:6" x14ac:dyDescent="0.3">
      <c r="A2086">
        <v>2085</v>
      </c>
      <c r="B2086" t="s">
        <v>25</v>
      </c>
      <c r="C2086" t="s">
        <v>7</v>
      </c>
      <c r="D2086" t="s">
        <v>8</v>
      </c>
      <c r="E2086" t="s">
        <v>9</v>
      </c>
      <c r="F2086" t="s">
        <v>13</v>
      </c>
    </row>
    <row r="2087" spans="1:6" x14ac:dyDescent="0.3">
      <c r="A2087">
        <v>2086</v>
      </c>
      <c r="B2087" t="s">
        <v>18</v>
      </c>
      <c r="C2087" t="s">
        <v>12</v>
      </c>
      <c r="D2087" t="s">
        <v>1</v>
      </c>
      <c r="E2087" t="s">
        <v>9</v>
      </c>
      <c r="F2087" t="s">
        <v>23</v>
      </c>
    </row>
    <row r="2088" spans="1:6" x14ac:dyDescent="0.3">
      <c r="A2088">
        <v>2087</v>
      </c>
      <c r="B2088" t="s">
        <v>16</v>
      </c>
      <c r="C2088" t="s">
        <v>24</v>
      </c>
      <c r="D2088" t="s">
        <v>8</v>
      </c>
      <c r="E2088" t="s">
        <v>9</v>
      </c>
      <c r="F2088" t="s">
        <v>13</v>
      </c>
    </row>
    <row r="2089" spans="1:6" x14ac:dyDescent="0.3">
      <c r="A2089">
        <v>2088</v>
      </c>
      <c r="B2089" t="s">
        <v>11</v>
      </c>
      <c r="C2089" t="s">
        <v>12</v>
      </c>
      <c r="D2089" t="s">
        <v>8</v>
      </c>
      <c r="E2089" t="s">
        <v>19</v>
      </c>
      <c r="F2089" t="s">
        <v>10</v>
      </c>
    </row>
    <row r="2090" spans="1:6" x14ac:dyDescent="0.3">
      <c r="A2090">
        <v>2089</v>
      </c>
      <c r="B2090" t="s">
        <v>16</v>
      </c>
      <c r="C2090" t="s">
        <v>12</v>
      </c>
      <c r="D2090" t="s">
        <v>22</v>
      </c>
      <c r="E2090" t="s">
        <v>15</v>
      </c>
      <c r="F2090" t="s">
        <v>23</v>
      </c>
    </row>
    <row r="2091" spans="1:6" x14ac:dyDescent="0.3">
      <c r="A2091">
        <v>2090</v>
      </c>
      <c r="B2091" t="s">
        <v>14</v>
      </c>
      <c r="C2091" t="s">
        <v>24</v>
      </c>
      <c r="D2091" t="s">
        <v>1</v>
      </c>
      <c r="E2091" t="s">
        <v>15</v>
      </c>
      <c r="F2091" t="s">
        <v>23</v>
      </c>
    </row>
    <row r="2092" spans="1:6" x14ac:dyDescent="0.3">
      <c r="A2092">
        <v>2091</v>
      </c>
      <c r="B2092" t="s">
        <v>6</v>
      </c>
      <c r="C2092" t="s">
        <v>7</v>
      </c>
      <c r="D2092" t="s">
        <v>1</v>
      </c>
      <c r="E2092" t="s">
        <v>15</v>
      </c>
      <c r="F2092" t="s">
        <v>13</v>
      </c>
    </row>
    <row r="2093" spans="1:6" x14ac:dyDescent="0.3">
      <c r="A2093">
        <v>2092</v>
      </c>
      <c r="B2093" t="s">
        <v>25</v>
      </c>
      <c r="C2093" t="s">
        <v>7</v>
      </c>
      <c r="D2093" t="s">
        <v>22</v>
      </c>
      <c r="E2093" t="s">
        <v>21</v>
      </c>
      <c r="F2093" t="s">
        <v>20</v>
      </c>
    </row>
    <row r="2094" spans="1:6" x14ac:dyDescent="0.3">
      <c r="A2094">
        <v>2093</v>
      </c>
      <c r="B2094" t="s">
        <v>16</v>
      </c>
      <c r="C2094" t="s">
        <v>7</v>
      </c>
      <c r="D2094" t="s">
        <v>22</v>
      </c>
      <c r="E2094" t="s">
        <v>21</v>
      </c>
      <c r="F2094" t="s">
        <v>20</v>
      </c>
    </row>
    <row r="2095" spans="1:6" x14ac:dyDescent="0.3">
      <c r="A2095">
        <v>2094</v>
      </c>
      <c r="B2095" t="s">
        <v>16</v>
      </c>
      <c r="C2095" t="s">
        <v>12</v>
      </c>
      <c r="D2095" t="s">
        <v>22</v>
      </c>
      <c r="E2095" t="s">
        <v>21</v>
      </c>
      <c r="F2095" t="s">
        <v>23</v>
      </c>
    </row>
    <row r="2096" spans="1:6" x14ac:dyDescent="0.3">
      <c r="A2096">
        <v>2095</v>
      </c>
      <c r="B2096" t="s">
        <v>18</v>
      </c>
      <c r="C2096" t="s">
        <v>24</v>
      </c>
      <c r="D2096" t="s">
        <v>22</v>
      </c>
      <c r="E2096" t="s">
        <v>9</v>
      </c>
      <c r="F2096" t="s">
        <v>23</v>
      </c>
    </row>
    <row r="2097" spans="1:6" x14ac:dyDescent="0.3">
      <c r="A2097">
        <v>2096</v>
      </c>
      <c r="B2097" t="s">
        <v>18</v>
      </c>
      <c r="C2097" t="s">
        <v>12</v>
      </c>
      <c r="D2097" t="s">
        <v>1</v>
      </c>
      <c r="E2097" t="s">
        <v>19</v>
      </c>
      <c r="F2097" t="s">
        <v>20</v>
      </c>
    </row>
    <row r="2098" spans="1:6" x14ac:dyDescent="0.3">
      <c r="A2098">
        <v>2097</v>
      </c>
      <c r="B2098" t="s">
        <v>14</v>
      </c>
      <c r="C2098" t="s">
        <v>7</v>
      </c>
      <c r="D2098" t="s">
        <v>8</v>
      </c>
      <c r="E2098" t="s">
        <v>9</v>
      </c>
      <c r="F2098" t="s">
        <v>20</v>
      </c>
    </row>
    <row r="2099" spans="1:6" x14ac:dyDescent="0.3">
      <c r="A2099">
        <v>2098</v>
      </c>
      <c r="B2099" t="s">
        <v>6</v>
      </c>
      <c r="C2099" t="s">
        <v>7</v>
      </c>
      <c r="D2099" t="s">
        <v>22</v>
      </c>
      <c r="E2099" t="s">
        <v>21</v>
      </c>
      <c r="F2099" t="s">
        <v>13</v>
      </c>
    </row>
    <row r="2100" spans="1:6" x14ac:dyDescent="0.3">
      <c r="A2100">
        <v>2099</v>
      </c>
      <c r="B2100" t="s">
        <v>16</v>
      </c>
      <c r="C2100" t="s">
        <v>24</v>
      </c>
      <c r="D2100" t="s">
        <v>1</v>
      </c>
      <c r="E2100" t="s">
        <v>15</v>
      </c>
      <c r="F2100" t="s">
        <v>23</v>
      </c>
    </row>
    <row r="2101" spans="1:6" x14ac:dyDescent="0.3">
      <c r="A2101">
        <v>2100</v>
      </c>
      <c r="B2101" t="s">
        <v>6</v>
      </c>
      <c r="C2101" t="s">
        <v>12</v>
      </c>
      <c r="D2101" t="s">
        <v>8</v>
      </c>
      <c r="E2101" t="s">
        <v>9</v>
      </c>
      <c r="F2101" t="s">
        <v>20</v>
      </c>
    </row>
    <row r="2102" spans="1:6" x14ac:dyDescent="0.3">
      <c r="A2102">
        <v>2101</v>
      </c>
      <c r="B2102" t="s">
        <v>16</v>
      </c>
      <c r="C2102" t="s">
        <v>12</v>
      </c>
      <c r="D2102" t="s">
        <v>8</v>
      </c>
      <c r="E2102" t="s">
        <v>9</v>
      </c>
      <c r="F2102" t="s">
        <v>13</v>
      </c>
    </row>
    <row r="2103" spans="1:6" x14ac:dyDescent="0.3">
      <c r="A2103">
        <v>2102</v>
      </c>
      <c r="B2103" t="s">
        <v>6</v>
      </c>
      <c r="C2103" t="s">
        <v>12</v>
      </c>
      <c r="D2103" t="s">
        <v>22</v>
      </c>
      <c r="E2103" t="s">
        <v>9</v>
      </c>
      <c r="F2103" t="s">
        <v>23</v>
      </c>
    </row>
    <row r="2104" spans="1:6" x14ac:dyDescent="0.3">
      <c r="A2104">
        <v>2103</v>
      </c>
      <c r="B2104" t="s">
        <v>14</v>
      </c>
      <c r="C2104" t="s">
        <v>12</v>
      </c>
      <c r="D2104" t="s">
        <v>22</v>
      </c>
      <c r="E2104" t="s">
        <v>21</v>
      </c>
      <c r="F2104" t="s">
        <v>13</v>
      </c>
    </row>
    <row r="2105" spans="1:6" x14ac:dyDescent="0.3">
      <c r="A2105">
        <v>2104</v>
      </c>
      <c r="B2105" t="s">
        <v>25</v>
      </c>
      <c r="C2105" t="s">
        <v>12</v>
      </c>
      <c r="D2105" t="s">
        <v>22</v>
      </c>
      <c r="E2105" t="s">
        <v>15</v>
      </c>
      <c r="F2105" t="s">
        <v>13</v>
      </c>
    </row>
    <row r="2106" spans="1:6" x14ac:dyDescent="0.3">
      <c r="A2106">
        <v>2105</v>
      </c>
      <c r="B2106" t="s">
        <v>18</v>
      </c>
      <c r="C2106" t="s">
        <v>7</v>
      </c>
      <c r="D2106" t="s">
        <v>8</v>
      </c>
      <c r="E2106" t="s">
        <v>9</v>
      </c>
      <c r="F2106" t="s">
        <v>20</v>
      </c>
    </row>
    <row r="2107" spans="1:6" x14ac:dyDescent="0.3">
      <c r="A2107">
        <v>2106</v>
      </c>
      <c r="B2107" t="s">
        <v>25</v>
      </c>
      <c r="C2107" t="s">
        <v>12</v>
      </c>
      <c r="D2107" t="s">
        <v>22</v>
      </c>
      <c r="E2107" t="s">
        <v>9</v>
      </c>
      <c r="F2107" t="s">
        <v>13</v>
      </c>
    </row>
    <row r="2108" spans="1:6" x14ac:dyDescent="0.3">
      <c r="A2108">
        <v>2107</v>
      </c>
      <c r="B2108" t="s">
        <v>18</v>
      </c>
      <c r="C2108" t="s">
        <v>12</v>
      </c>
      <c r="D2108" t="s">
        <v>22</v>
      </c>
      <c r="E2108" t="s">
        <v>21</v>
      </c>
      <c r="F2108" t="s">
        <v>10</v>
      </c>
    </row>
    <row r="2109" spans="1:6" x14ac:dyDescent="0.3">
      <c r="A2109">
        <v>2108</v>
      </c>
      <c r="B2109" t="s">
        <v>11</v>
      </c>
      <c r="C2109" t="s">
        <v>7</v>
      </c>
      <c r="D2109" t="s">
        <v>8</v>
      </c>
      <c r="E2109" t="s">
        <v>9</v>
      </c>
      <c r="F2109" t="s">
        <v>13</v>
      </c>
    </row>
    <row r="2110" spans="1:6" x14ac:dyDescent="0.3">
      <c r="A2110">
        <v>2109</v>
      </c>
      <c r="B2110" t="s">
        <v>16</v>
      </c>
      <c r="C2110" t="s">
        <v>12</v>
      </c>
      <c r="D2110" t="s">
        <v>1</v>
      </c>
      <c r="E2110" t="s">
        <v>9</v>
      </c>
      <c r="F2110" t="s">
        <v>13</v>
      </c>
    </row>
    <row r="2111" spans="1:6" x14ac:dyDescent="0.3">
      <c r="A2111">
        <v>2110</v>
      </c>
      <c r="B2111" t="s">
        <v>11</v>
      </c>
      <c r="C2111" t="s">
        <v>7</v>
      </c>
      <c r="D2111" t="s">
        <v>8</v>
      </c>
      <c r="E2111" t="s">
        <v>9</v>
      </c>
      <c r="F2111" t="s">
        <v>20</v>
      </c>
    </row>
    <row r="2112" spans="1:6" x14ac:dyDescent="0.3">
      <c r="A2112">
        <v>2111</v>
      </c>
      <c r="B2112" t="s">
        <v>25</v>
      </c>
      <c r="C2112" t="s">
        <v>7</v>
      </c>
      <c r="D2112" t="s">
        <v>22</v>
      </c>
      <c r="E2112" t="s">
        <v>15</v>
      </c>
      <c r="F2112" t="s">
        <v>23</v>
      </c>
    </row>
    <row r="2113" spans="1:6" x14ac:dyDescent="0.3">
      <c r="A2113">
        <v>2112</v>
      </c>
      <c r="B2113" t="s">
        <v>14</v>
      </c>
      <c r="C2113" t="s">
        <v>7</v>
      </c>
      <c r="D2113" t="s">
        <v>22</v>
      </c>
      <c r="E2113" t="s">
        <v>9</v>
      </c>
      <c r="F2113" t="s">
        <v>23</v>
      </c>
    </row>
    <row r="2114" spans="1:6" x14ac:dyDescent="0.3">
      <c r="A2114">
        <v>2113</v>
      </c>
      <c r="B2114" t="s">
        <v>11</v>
      </c>
      <c r="C2114" t="s">
        <v>12</v>
      </c>
      <c r="D2114" t="s">
        <v>22</v>
      </c>
      <c r="E2114" t="s">
        <v>19</v>
      </c>
      <c r="F2114" t="s">
        <v>10</v>
      </c>
    </row>
    <row r="2115" spans="1:6" x14ac:dyDescent="0.3">
      <c r="A2115">
        <v>2114</v>
      </c>
      <c r="B2115" t="s">
        <v>25</v>
      </c>
      <c r="C2115" t="s">
        <v>24</v>
      </c>
      <c r="D2115" t="s">
        <v>8</v>
      </c>
      <c r="E2115" t="s">
        <v>9</v>
      </c>
      <c r="F2115" t="s">
        <v>13</v>
      </c>
    </row>
    <row r="2116" spans="1:6" x14ac:dyDescent="0.3">
      <c r="A2116">
        <v>2115</v>
      </c>
      <c r="B2116" t="s">
        <v>6</v>
      </c>
      <c r="C2116" t="s">
        <v>7</v>
      </c>
      <c r="D2116" t="s">
        <v>8</v>
      </c>
      <c r="E2116" t="s">
        <v>9</v>
      </c>
      <c r="F2116" t="s">
        <v>10</v>
      </c>
    </row>
    <row r="2117" spans="1:6" x14ac:dyDescent="0.3">
      <c r="A2117">
        <v>2116</v>
      </c>
      <c r="B2117" t="s">
        <v>14</v>
      </c>
      <c r="C2117" t="s">
        <v>7</v>
      </c>
      <c r="D2117" t="s">
        <v>22</v>
      </c>
      <c r="E2117" t="s">
        <v>21</v>
      </c>
      <c r="F2117" t="s">
        <v>23</v>
      </c>
    </row>
    <row r="2118" spans="1:6" x14ac:dyDescent="0.3">
      <c r="A2118">
        <v>2117</v>
      </c>
      <c r="B2118" t="s">
        <v>18</v>
      </c>
      <c r="C2118" t="s">
        <v>12</v>
      </c>
      <c r="D2118" t="s">
        <v>1</v>
      </c>
      <c r="E2118" t="s">
        <v>19</v>
      </c>
      <c r="F2118" t="s">
        <v>10</v>
      </c>
    </row>
    <row r="2119" spans="1:6" x14ac:dyDescent="0.3">
      <c r="A2119">
        <v>2118</v>
      </c>
      <c r="B2119" t="s">
        <v>16</v>
      </c>
      <c r="C2119" t="s">
        <v>12</v>
      </c>
      <c r="D2119" t="s">
        <v>8</v>
      </c>
      <c r="E2119" t="s">
        <v>9</v>
      </c>
      <c r="F2119" t="s">
        <v>13</v>
      </c>
    </row>
    <row r="2120" spans="1:6" x14ac:dyDescent="0.3">
      <c r="A2120">
        <v>2119</v>
      </c>
      <c r="B2120" t="s">
        <v>25</v>
      </c>
      <c r="C2120" t="s">
        <v>7</v>
      </c>
      <c r="D2120" t="s">
        <v>1</v>
      </c>
      <c r="E2120" t="s">
        <v>9</v>
      </c>
      <c r="F2120" t="s">
        <v>13</v>
      </c>
    </row>
    <row r="2121" spans="1:6" x14ac:dyDescent="0.3">
      <c r="A2121">
        <v>2120</v>
      </c>
      <c r="B2121" t="s">
        <v>6</v>
      </c>
      <c r="C2121" t="s">
        <v>7</v>
      </c>
      <c r="D2121" t="s">
        <v>8</v>
      </c>
      <c r="E2121" t="s">
        <v>21</v>
      </c>
      <c r="F2121" t="s">
        <v>13</v>
      </c>
    </row>
    <row r="2122" spans="1:6" x14ac:dyDescent="0.3">
      <c r="A2122">
        <v>2121</v>
      </c>
      <c r="B2122" t="s">
        <v>18</v>
      </c>
      <c r="C2122" t="s">
        <v>7</v>
      </c>
      <c r="D2122" t="s">
        <v>1</v>
      </c>
      <c r="E2122" t="s">
        <v>19</v>
      </c>
      <c r="F2122" t="s">
        <v>20</v>
      </c>
    </row>
    <row r="2123" spans="1:6" x14ac:dyDescent="0.3">
      <c r="A2123">
        <v>2122</v>
      </c>
      <c r="B2123" t="s">
        <v>14</v>
      </c>
      <c r="C2123" t="s">
        <v>7</v>
      </c>
      <c r="D2123" t="s">
        <v>8</v>
      </c>
      <c r="E2123" t="s">
        <v>15</v>
      </c>
      <c r="F2123" t="s">
        <v>20</v>
      </c>
    </row>
    <row r="2124" spans="1:6" x14ac:dyDescent="0.3">
      <c r="A2124">
        <v>2123</v>
      </c>
      <c r="B2124" t="s">
        <v>6</v>
      </c>
      <c r="C2124" t="s">
        <v>12</v>
      </c>
      <c r="D2124" t="s">
        <v>8</v>
      </c>
      <c r="E2124" t="s">
        <v>19</v>
      </c>
      <c r="F2124" t="s">
        <v>10</v>
      </c>
    </row>
    <row r="2125" spans="1:6" x14ac:dyDescent="0.3">
      <c r="A2125">
        <v>2124</v>
      </c>
      <c r="B2125" t="s">
        <v>14</v>
      </c>
      <c r="C2125" t="s">
        <v>7</v>
      </c>
      <c r="D2125" t="s">
        <v>22</v>
      </c>
      <c r="E2125" t="s">
        <v>9</v>
      </c>
      <c r="F2125" t="s">
        <v>23</v>
      </c>
    </row>
    <row r="2126" spans="1:6" x14ac:dyDescent="0.3">
      <c r="A2126">
        <v>2125</v>
      </c>
      <c r="B2126" t="s">
        <v>14</v>
      </c>
      <c r="C2126" t="s">
        <v>12</v>
      </c>
      <c r="D2126" t="s">
        <v>8</v>
      </c>
      <c r="E2126" t="s">
        <v>9</v>
      </c>
      <c r="F2126" t="s">
        <v>23</v>
      </c>
    </row>
    <row r="2127" spans="1:6" x14ac:dyDescent="0.3">
      <c r="A2127">
        <v>2126</v>
      </c>
      <c r="B2127" t="s">
        <v>6</v>
      </c>
      <c r="C2127" t="s">
        <v>12</v>
      </c>
      <c r="D2127" t="s">
        <v>1</v>
      </c>
      <c r="E2127" t="s">
        <v>21</v>
      </c>
      <c r="F2127" t="s">
        <v>20</v>
      </c>
    </row>
    <row r="2128" spans="1:6" x14ac:dyDescent="0.3">
      <c r="A2128">
        <v>2127</v>
      </c>
      <c r="B2128" t="s">
        <v>6</v>
      </c>
      <c r="C2128" t="s">
        <v>12</v>
      </c>
      <c r="D2128" t="s">
        <v>8</v>
      </c>
      <c r="E2128" t="s">
        <v>19</v>
      </c>
      <c r="F2128" t="s">
        <v>10</v>
      </c>
    </row>
    <row r="2129" spans="1:6" x14ac:dyDescent="0.3">
      <c r="A2129">
        <v>2128</v>
      </c>
      <c r="B2129" t="s">
        <v>25</v>
      </c>
      <c r="C2129" t="s">
        <v>7</v>
      </c>
      <c r="D2129" t="s">
        <v>1</v>
      </c>
      <c r="E2129" t="s">
        <v>21</v>
      </c>
      <c r="F2129" t="s">
        <v>13</v>
      </c>
    </row>
    <row r="2130" spans="1:6" x14ac:dyDescent="0.3">
      <c r="A2130">
        <v>2129</v>
      </c>
      <c r="B2130" t="s">
        <v>16</v>
      </c>
      <c r="C2130" t="s">
        <v>7</v>
      </c>
      <c r="D2130" t="s">
        <v>22</v>
      </c>
      <c r="E2130" t="s">
        <v>21</v>
      </c>
      <c r="F2130" t="s">
        <v>10</v>
      </c>
    </row>
    <row r="2131" spans="1:6" x14ac:dyDescent="0.3">
      <c r="A2131">
        <v>2130</v>
      </c>
      <c r="B2131" t="s">
        <v>11</v>
      </c>
      <c r="C2131" t="s">
        <v>7</v>
      </c>
      <c r="D2131" t="s">
        <v>1</v>
      </c>
      <c r="E2131" t="s">
        <v>21</v>
      </c>
      <c r="F2131" t="s">
        <v>13</v>
      </c>
    </row>
    <row r="2132" spans="1:6" x14ac:dyDescent="0.3">
      <c r="A2132">
        <v>2131</v>
      </c>
      <c r="B2132" t="s">
        <v>25</v>
      </c>
      <c r="C2132" t="s">
        <v>7</v>
      </c>
      <c r="D2132" t="s">
        <v>1</v>
      </c>
      <c r="E2132" t="s">
        <v>21</v>
      </c>
      <c r="F2132" t="s">
        <v>20</v>
      </c>
    </row>
    <row r="2133" spans="1:6" x14ac:dyDescent="0.3">
      <c r="A2133">
        <v>2132</v>
      </c>
      <c r="B2133" t="s">
        <v>25</v>
      </c>
      <c r="C2133" t="s">
        <v>12</v>
      </c>
      <c r="D2133" t="s">
        <v>8</v>
      </c>
      <c r="E2133" t="s">
        <v>21</v>
      </c>
      <c r="F2133" t="s">
        <v>13</v>
      </c>
    </row>
    <row r="2134" spans="1:6" x14ac:dyDescent="0.3">
      <c r="A2134">
        <v>2133</v>
      </c>
      <c r="B2134" t="s">
        <v>16</v>
      </c>
      <c r="C2134" t="s">
        <v>12</v>
      </c>
      <c r="D2134" t="s">
        <v>1</v>
      </c>
      <c r="E2134" t="s">
        <v>19</v>
      </c>
      <c r="F2134" t="s">
        <v>10</v>
      </c>
    </row>
    <row r="2135" spans="1:6" x14ac:dyDescent="0.3">
      <c r="A2135">
        <v>2134</v>
      </c>
      <c r="B2135" t="s">
        <v>11</v>
      </c>
      <c r="C2135" t="s">
        <v>7</v>
      </c>
      <c r="D2135" t="s">
        <v>22</v>
      </c>
      <c r="E2135" t="s">
        <v>9</v>
      </c>
      <c r="F2135" t="s">
        <v>10</v>
      </c>
    </row>
    <row r="2136" spans="1:6" x14ac:dyDescent="0.3">
      <c r="A2136">
        <v>2135</v>
      </c>
      <c r="B2136" t="s">
        <v>11</v>
      </c>
      <c r="C2136" t="s">
        <v>7</v>
      </c>
      <c r="D2136" t="s">
        <v>8</v>
      </c>
      <c r="E2136" t="s">
        <v>19</v>
      </c>
      <c r="F2136" t="s">
        <v>10</v>
      </c>
    </row>
    <row r="2137" spans="1:6" x14ac:dyDescent="0.3">
      <c r="A2137">
        <v>2136</v>
      </c>
      <c r="B2137" t="s">
        <v>16</v>
      </c>
      <c r="C2137" t="s">
        <v>12</v>
      </c>
      <c r="D2137" t="s">
        <v>1</v>
      </c>
      <c r="E2137" t="s">
        <v>19</v>
      </c>
      <c r="F2137" t="s">
        <v>10</v>
      </c>
    </row>
    <row r="2138" spans="1:6" x14ac:dyDescent="0.3">
      <c r="A2138">
        <v>2137</v>
      </c>
      <c r="B2138" t="s">
        <v>11</v>
      </c>
      <c r="C2138" t="s">
        <v>12</v>
      </c>
      <c r="D2138" t="s">
        <v>8</v>
      </c>
      <c r="E2138" t="s">
        <v>19</v>
      </c>
      <c r="F2138" t="s">
        <v>10</v>
      </c>
    </row>
    <row r="2139" spans="1:6" x14ac:dyDescent="0.3">
      <c r="A2139">
        <v>2138</v>
      </c>
      <c r="B2139" t="s">
        <v>6</v>
      </c>
      <c r="C2139" t="s">
        <v>7</v>
      </c>
      <c r="D2139" t="s">
        <v>8</v>
      </c>
      <c r="E2139" t="s">
        <v>9</v>
      </c>
      <c r="F2139" t="s">
        <v>20</v>
      </c>
    </row>
    <row r="2140" spans="1:6" x14ac:dyDescent="0.3">
      <c r="A2140">
        <v>2139</v>
      </c>
      <c r="B2140" t="s">
        <v>14</v>
      </c>
      <c r="C2140" t="s">
        <v>7</v>
      </c>
      <c r="D2140" t="s">
        <v>8</v>
      </c>
      <c r="E2140" t="s">
        <v>9</v>
      </c>
      <c r="F2140" t="s">
        <v>20</v>
      </c>
    </row>
    <row r="2141" spans="1:6" x14ac:dyDescent="0.3">
      <c r="A2141">
        <v>2140</v>
      </c>
      <c r="B2141" t="s">
        <v>18</v>
      </c>
      <c r="C2141" t="s">
        <v>7</v>
      </c>
      <c r="D2141" t="s">
        <v>22</v>
      </c>
      <c r="E2141" t="s">
        <v>9</v>
      </c>
      <c r="F2141" t="s">
        <v>23</v>
      </c>
    </row>
    <row r="2142" spans="1:6" x14ac:dyDescent="0.3">
      <c r="A2142">
        <v>2141</v>
      </c>
      <c r="B2142" t="s">
        <v>14</v>
      </c>
      <c r="C2142" t="s">
        <v>12</v>
      </c>
      <c r="D2142" t="s">
        <v>22</v>
      </c>
      <c r="E2142" t="s">
        <v>9</v>
      </c>
      <c r="F2142" t="s">
        <v>23</v>
      </c>
    </row>
    <row r="2143" spans="1:6" x14ac:dyDescent="0.3">
      <c r="A2143">
        <v>2142</v>
      </c>
      <c r="B2143" t="s">
        <v>11</v>
      </c>
      <c r="C2143" t="s">
        <v>24</v>
      </c>
      <c r="D2143" t="s">
        <v>8</v>
      </c>
      <c r="E2143" t="s">
        <v>9</v>
      </c>
      <c r="F2143" t="s">
        <v>23</v>
      </c>
    </row>
    <row r="2144" spans="1:6" x14ac:dyDescent="0.3">
      <c r="A2144">
        <v>2143</v>
      </c>
      <c r="B2144" t="s">
        <v>16</v>
      </c>
      <c r="C2144" t="s">
        <v>12</v>
      </c>
      <c r="D2144" t="s">
        <v>22</v>
      </c>
      <c r="E2144" t="s">
        <v>9</v>
      </c>
      <c r="F2144" t="s">
        <v>20</v>
      </c>
    </row>
    <row r="2145" spans="1:6" x14ac:dyDescent="0.3">
      <c r="A2145">
        <v>2144</v>
      </c>
      <c r="B2145" t="s">
        <v>6</v>
      </c>
      <c r="C2145" t="s">
        <v>7</v>
      </c>
      <c r="D2145" t="s">
        <v>1</v>
      </c>
      <c r="E2145" t="s">
        <v>9</v>
      </c>
      <c r="F2145" t="s">
        <v>13</v>
      </c>
    </row>
    <row r="2146" spans="1:6" x14ac:dyDescent="0.3">
      <c r="A2146">
        <v>2145</v>
      </c>
      <c r="B2146" t="s">
        <v>14</v>
      </c>
      <c r="C2146" t="s">
        <v>12</v>
      </c>
      <c r="D2146" t="s">
        <v>1</v>
      </c>
      <c r="E2146" t="s">
        <v>9</v>
      </c>
      <c r="F2146" t="s">
        <v>23</v>
      </c>
    </row>
    <row r="2147" spans="1:6" x14ac:dyDescent="0.3">
      <c r="A2147">
        <v>2146</v>
      </c>
      <c r="B2147" t="s">
        <v>14</v>
      </c>
      <c r="C2147" t="s">
        <v>7</v>
      </c>
      <c r="D2147" t="s">
        <v>8</v>
      </c>
      <c r="E2147" t="s">
        <v>21</v>
      </c>
      <c r="F2147" t="s">
        <v>20</v>
      </c>
    </row>
    <row r="2148" spans="1:6" x14ac:dyDescent="0.3">
      <c r="A2148">
        <v>2147</v>
      </c>
      <c r="B2148" t="s">
        <v>25</v>
      </c>
      <c r="C2148" t="s">
        <v>12</v>
      </c>
      <c r="D2148" t="s">
        <v>1</v>
      </c>
      <c r="E2148" t="s">
        <v>9</v>
      </c>
      <c r="F2148" t="s">
        <v>23</v>
      </c>
    </row>
    <row r="2149" spans="1:6" x14ac:dyDescent="0.3">
      <c r="A2149">
        <v>2148</v>
      </c>
      <c r="B2149" t="s">
        <v>16</v>
      </c>
      <c r="C2149" t="s">
        <v>12</v>
      </c>
      <c r="D2149" t="s">
        <v>22</v>
      </c>
      <c r="E2149" t="s">
        <v>21</v>
      </c>
      <c r="F2149" t="s">
        <v>10</v>
      </c>
    </row>
    <row r="2150" spans="1:6" x14ac:dyDescent="0.3">
      <c r="A2150">
        <v>2149</v>
      </c>
      <c r="B2150" t="s">
        <v>25</v>
      </c>
      <c r="C2150" t="s">
        <v>7</v>
      </c>
      <c r="D2150" t="s">
        <v>1</v>
      </c>
      <c r="E2150" t="s">
        <v>19</v>
      </c>
      <c r="F2150" t="s">
        <v>10</v>
      </c>
    </row>
    <row r="2151" spans="1:6" x14ac:dyDescent="0.3">
      <c r="A2151">
        <v>2150</v>
      </c>
      <c r="B2151" t="s">
        <v>18</v>
      </c>
      <c r="C2151" t="s">
        <v>12</v>
      </c>
      <c r="D2151" t="s">
        <v>22</v>
      </c>
      <c r="E2151" t="s">
        <v>21</v>
      </c>
      <c r="F2151" t="s">
        <v>23</v>
      </c>
    </row>
    <row r="2152" spans="1:6" x14ac:dyDescent="0.3">
      <c r="A2152">
        <v>2151</v>
      </c>
      <c r="B2152" t="s">
        <v>18</v>
      </c>
      <c r="C2152" t="s">
        <v>7</v>
      </c>
      <c r="D2152" t="s">
        <v>8</v>
      </c>
      <c r="E2152" t="s">
        <v>21</v>
      </c>
      <c r="F2152" t="s">
        <v>20</v>
      </c>
    </row>
    <row r="2153" spans="1:6" x14ac:dyDescent="0.3">
      <c r="A2153">
        <v>2152</v>
      </c>
      <c r="B2153" t="s">
        <v>18</v>
      </c>
      <c r="C2153" t="s">
        <v>12</v>
      </c>
      <c r="D2153" t="s">
        <v>8</v>
      </c>
      <c r="E2153" t="s">
        <v>19</v>
      </c>
      <c r="F2153" t="s">
        <v>10</v>
      </c>
    </row>
    <row r="2154" spans="1:6" x14ac:dyDescent="0.3">
      <c r="A2154">
        <v>2153</v>
      </c>
      <c r="B2154" t="s">
        <v>11</v>
      </c>
      <c r="C2154" t="s">
        <v>7</v>
      </c>
      <c r="D2154" t="s">
        <v>1</v>
      </c>
      <c r="E2154" t="s">
        <v>9</v>
      </c>
      <c r="F2154" t="s">
        <v>20</v>
      </c>
    </row>
    <row r="2155" spans="1:6" x14ac:dyDescent="0.3">
      <c r="A2155">
        <v>2154</v>
      </c>
      <c r="B2155" t="s">
        <v>25</v>
      </c>
      <c r="C2155" t="s">
        <v>7</v>
      </c>
      <c r="D2155" t="s">
        <v>1</v>
      </c>
      <c r="E2155" t="s">
        <v>9</v>
      </c>
      <c r="F2155" t="s">
        <v>20</v>
      </c>
    </row>
    <row r="2156" spans="1:6" x14ac:dyDescent="0.3">
      <c r="A2156">
        <v>2155</v>
      </c>
      <c r="B2156" t="s">
        <v>25</v>
      </c>
      <c r="C2156" t="s">
        <v>24</v>
      </c>
      <c r="D2156" t="s">
        <v>8</v>
      </c>
      <c r="E2156" t="s">
        <v>9</v>
      </c>
      <c r="F2156" t="s">
        <v>23</v>
      </c>
    </row>
    <row r="2157" spans="1:6" x14ac:dyDescent="0.3">
      <c r="A2157">
        <v>2156</v>
      </c>
      <c r="B2157" t="s">
        <v>18</v>
      </c>
      <c r="C2157" t="s">
        <v>7</v>
      </c>
      <c r="D2157" t="s">
        <v>8</v>
      </c>
      <c r="E2157" t="s">
        <v>9</v>
      </c>
      <c r="F2157" t="s">
        <v>20</v>
      </c>
    </row>
    <row r="2158" spans="1:6" x14ac:dyDescent="0.3">
      <c r="A2158">
        <v>2157</v>
      </c>
      <c r="B2158" t="s">
        <v>18</v>
      </c>
      <c r="C2158" t="s">
        <v>7</v>
      </c>
      <c r="D2158" t="s">
        <v>22</v>
      </c>
      <c r="E2158" t="s">
        <v>19</v>
      </c>
      <c r="F2158" t="s">
        <v>10</v>
      </c>
    </row>
    <row r="2159" spans="1:6" x14ac:dyDescent="0.3">
      <c r="A2159">
        <v>2158</v>
      </c>
      <c r="B2159" t="s">
        <v>11</v>
      </c>
      <c r="C2159" t="s">
        <v>12</v>
      </c>
      <c r="D2159" t="s">
        <v>1</v>
      </c>
      <c r="E2159" t="s">
        <v>21</v>
      </c>
      <c r="F2159" t="s">
        <v>23</v>
      </c>
    </row>
    <row r="2160" spans="1:6" x14ac:dyDescent="0.3">
      <c r="A2160">
        <v>2159</v>
      </c>
      <c r="B2160" t="s">
        <v>14</v>
      </c>
      <c r="C2160" t="s">
        <v>7</v>
      </c>
      <c r="D2160" t="s">
        <v>22</v>
      </c>
      <c r="E2160" t="s">
        <v>21</v>
      </c>
      <c r="F2160" t="s">
        <v>23</v>
      </c>
    </row>
    <row r="2161" spans="1:6" x14ac:dyDescent="0.3">
      <c r="A2161">
        <v>2160</v>
      </c>
      <c r="B2161" t="s">
        <v>6</v>
      </c>
      <c r="C2161" t="s">
        <v>12</v>
      </c>
      <c r="D2161" t="s">
        <v>8</v>
      </c>
      <c r="E2161" t="s">
        <v>9</v>
      </c>
      <c r="F2161" t="s">
        <v>13</v>
      </c>
    </row>
    <row r="2162" spans="1:6" x14ac:dyDescent="0.3">
      <c r="A2162">
        <v>2161</v>
      </c>
      <c r="B2162" t="s">
        <v>25</v>
      </c>
      <c r="C2162" t="s">
        <v>7</v>
      </c>
      <c r="D2162" t="s">
        <v>22</v>
      </c>
      <c r="E2162" t="s">
        <v>21</v>
      </c>
      <c r="F2162" t="s">
        <v>13</v>
      </c>
    </row>
    <row r="2163" spans="1:6" x14ac:dyDescent="0.3">
      <c r="A2163">
        <v>2162</v>
      </c>
      <c r="B2163" t="s">
        <v>25</v>
      </c>
      <c r="C2163" t="s">
        <v>24</v>
      </c>
      <c r="D2163" t="s">
        <v>8</v>
      </c>
      <c r="E2163" t="s">
        <v>15</v>
      </c>
      <c r="F2163" t="s">
        <v>13</v>
      </c>
    </row>
    <row r="2164" spans="1:6" x14ac:dyDescent="0.3">
      <c r="A2164">
        <v>2163</v>
      </c>
      <c r="B2164" t="s">
        <v>25</v>
      </c>
      <c r="C2164" t="s">
        <v>24</v>
      </c>
      <c r="D2164" t="s">
        <v>8</v>
      </c>
      <c r="E2164" t="s">
        <v>15</v>
      </c>
      <c r="F2164" t="s">
        <v>13</v>
      </c>
    </row>
    <row r="2165" spans="1:6" x14ac:dyDescent="0.3">
      <c r="A2165">
        <v>2164</v>
      </c>
      <c r="B2165" t="s">
        <v>6</v>
      </c>
      <c r="C2165" t="s">
        <v>12</v>
      </c>
      <c r="D2165" t="s">
        <v>22</v>
      </c>
      <c r="E2165" t="s">
        <v>15</v>
      </c>
      <c r="F2165" t="s">
        <v>20</v>
      </c>
    </row>
    <row r="2166" spans="1:6" x14ac:dyDescent="0.3">
      <c r="A2166">
        <v>2165</v>
      </c>
      <c r="B2166" t="s">
        <v>25</v>
      </c>
      <c r="C2166" t="s">
        <v>7</v>
      </c>
      <c r="D2166" t="s">
        <v>8</v>
      </c>
      <c r="E2166" t="s">
        <v>9</v>
      </c>
      <c r="F2166" t="s">
        <v>20</v>
      </c>
    </row>
    <row r="2167" spans="1:6" x14ac:dyDescent="0.3">
      <c r="A2167">
        <v>2166</v>
      </c>
      <c r="B2167" t="s">
        <v>18</v>
      </c>
      <c r="C2167" t="s">
        <v>7</v>
      </c>
      <c r="D2167" t="s">
        <v>1</v>
      </c>
      <c r="E2167" t="s">
        <v>19</v>
      </c>
      <c r="F2167" t="s">
        <v>10</v>
      </c>
    </row>
    <row r="2168" spans="1:6" x14ac:dyDescent="0.3">
      <c r="A2168">
        <v>2167</v>
      </c>
      <c r="B2168" t="s">
        <v>11</v>
      </c>
      <c r="C2168" t="s">
        <v>7</v>
      </c>
      <c r="D2168" t="s">
        <v>22</v>
      </c>
      <c r="E2168" t="s">
        <v>15</v>
      </c>
      <c r="F2168" t="s">
        <v>13</v>
      </c>
    </row>
    <row r="2169" spans="1:6" x14ac:dyDescent="0.3">
      <c r="A2169">
        <v>2168</v>
      </c>
      <c r="B2169" t="s">
        <v>16</v>
      </c>
      <c r="C2169" t="s">
        <v>7</v>
      </c>
      <c r="D2169" t="s">
        <v>1</v>
      </c>
      <c r="E2169" t="s">
        <v>9</v>
      </c>
      <c r="F2169" t="s">
        <v>13</v>
      </c>
    </row>
    <row r="2170" spans="1:6" x14ac:dyDescent="0.3">
      <c r="A2170">
        <v>2169</v>
      </c>
      <c r="B2170" t="s">
        <v>14</v>
      </c>
      <c r="C2170" t="s">
        <v>7</v>
      </c>
      <c r="D2170" t="s">
        <v>22</v>
      </c>
      <c r="E2170" t="s">
        <v>19</v>
      </c>
      <c r="F2170" t="s">
        <v>10</v>
      </c>
    </row>
    <row r="2171" spans="1:6" x14ac:dyDescent="0.3">
      <c r="A2171">
        <v>2170</v>
      </c>
      <c r="B2171" t="s">
        <v>25</v>
      </c>
      <c r="C2171" t="s">
        <v>7</v>
      </c>
      <c r="D2171" t="s">
        <v>1</v>
      </c>
      <c r="E2171" t="s">
        <v>9</v>
      </c>
      <c r="F2171" t="s">
        <v>20</v>
      </c>
    </row>
    <row r="2172" spans="1:6" x14ac:dyDescent="0.3">
      <c r="A2172">
        <v>2171</v>
      </c>
      <c r="B2172" t="s">
        <v>14</v>
      </c>
      <c r="C2172" t="s">
        <v>12</v>
      </c>
      <c r="D2172" t="s">
        <v>22</v>
      </c>
      <c r="E2172" t="s">
        <v>19</v>
      </c>
      <c r="F2172" t="s">
        <v>10</v>
      </c>
    </row>
    <row r="2173" spans="1:6" x14ac:dyDescent="0.3">
      <c r="A2173">
        <v>2172</v>
      </c>
      <c r="B2173" t="s">
        <v>25</v>
      </c>
      <c r="C2173" t="s">
        <v>7</v>
      </c>
      <c r="D2173" t="s">
        <v>1</v>
      </c>
      <c r="E2173" t="s">
        <v>15</v>
      </c>
      <c r="F2173" t="s">
        <v>23</v>
      </c>
    </row>
    <row r="2174" spans="1:6" x14ac:dyDescent="0.3">
      <c r="A2174">
        <v>2173</v>
      </c>
      <c r="B2174" t="s">
        <v>25</v>
      </c>
      <c r="C2174" t="s">
        <v>7</v>
      </c>
      <c r="D2174" t="s">
        <v>8</v>
      </c>
      <c r="E2174" t="s">
        <v>21</v>
      </c>
      <c r="F2174" t="s">
        <v>13</v>
      </c>
    </row>
    <row r="2175" spans="1:6" x14ac:dyDescent="0.3">
      <c r="A2175">
        <v>2174</v>
      </c>
      <c r="B2175" t="s">
        <v>25</v>
      </c>
      <c r="C2175" t="s">
        <v>7</v>
      </c>
      <c r="D2175" t="s">
        <v>22</v>
      </c>
      <c r="E2175" t="s">
        <v>9</v>
      </c>
      <c r="F2175" t="s">
        <v>13</v>
      </c>
    </row>
    <row r="2176" spans="1:6" x14ac:dyDescent="0.3">
      <c r="A2176">
        <v>2175</v>
      </c>
      <c r="B2176" t="s">
        <v>14</v>
      </c>
      <c r="C2176" t="s">
        <v>7</v>
      </c>
      <c r="D2176" t="s">
        <v>22</v>
      </c>
      <c r="E2176" t="s">
        <v>9</v>
      </c>
      <c r="F2176" t="s">
        <v>13</v>
      </c>
    </row>
    <row r="2177" spans="1:6" x14ac:dyDescent="0.3">
      <c r="A2177">
        <v>2176</v>
      </c>
      <c r="B2177" t="s">
        <v>14</v>
      </c>
      <c r="C2177" t="s">
        <v>12</v>
      </c>
      <c r="D2177" t="s">
        <v>22</v>
      </c>
      <c r="E2177" t="s">
        <v>19</v>
      </c>
      <c r="F2177" t="s">
        <v>10</v>
      </c>
    </row>
    <row r="2178" spans="1:6" x14ac:dyDescent="0.3">
      <c r="A2178">
        <v>2177</v>
      </c>
      <c r="B2178" t="s">
        <v>14</v>
      </c>
      <c r="C2178" t="s">
        <v>24</v>
      </c>
      <c r="D2178" t="s">
        <v>8</v>
      </c>
      <c r="E2178" t="s">
        <v>15</v>
      </c>
      <c r="F2178" t="s">
        <v>20</v>
      </c>
    </row>
    <row r="2179" spans="1:6" x14ac:dyDescent="0.3">
      <c r="A2179">
        <v>2178</v>
      </c>
      <c r="B2179" t="s">
        <v>16</v>
      </c>
      <c r="C2179" t="s">
        <v>12</v>
      </c>
      <c r="D2179" t="s">
        <v>1</v>
      </c>
      <c r="E2179" t="s">
        <v>19</v>
      </c>
      <c r="F2179" t="s">
        <v>10</v>
      </c>
    </row>
    <row r="2180" spans="1:6" x14ac:dyDescent="0.3">
      <c r="A2180">
        <v>2179</v>
      </c>
      <c r="B2180" t="s">
        <v>6</v>
      </c>
      <c r="C2180" t="s">
        <v>12</v>
      </c>
      <c r="D2180" t="s">
        <v>22</v>
      </c>
      <c r="E2180" t="s">
        <v>19</v>
      </c>
      <c r="F2180" t="s">
        <v>10</v>
      </c>
    </row>
    <row r="2181" spans="1:6" x14ac:dyDescent="0.3">
      <c r="A2181">
        <v>2180</v>
      </c>
      <c r="B2181" t="s">
        <v>25</v>
      </c>
      <c r="C2181" t="s">
        <v>12</v>
      </c>
      <c r="D2181" t="s">
        <v>22</v>
      </c>
      <c r="E2181" t="s">
        <v>21</v>
      </c>
      <c r="F2181" t="s">
        <v>10</v>
      </c>
    </row>
    <row r="2182" spans="1:6" x14ac:dyDescent="0.3">
      <c r="A2182">
        <v>2181</v>
      </c>
      <c r="B2182" t="s">
        <v>11</v>
      </c>
      <c r="C2182" t="s">
        <v>12</v>
      </c>
      <c r="D2182" t="s">
        <v>22</v>
      </c>
      <c r="E2182" t="s">
        <v>15</v>
      </c>
      <c r="F2182" t="s">
        <v>23</v>
      </c>
    </row>
    <row r="2183" spans="1:6" x14ac:dyDescent="0.3">
      <c r="A2183">
        <v>2182</v>
      </c>
      <c r="B2183" t="s">
        <v>16</v>
      </c>
      <c r="C2183" t="s">
        <v>12</v>
      </c>
      <c r="D2183" t="s">
        <v>1</v>
      </c>
      <c r="E2183" t="s">
        <v>9</v>
      </c>
      <c r="F2183" t="s">
        <v>23</v>
      </c>
    </row>
    <row r="2184" spans="1:6" x14ac:dyDescent="0.3">
      <c r="A2184">
        <v>2183</v>
      </c>
      <c r="B2184" t="s">
        <v>14</v>
      </c>
      <c r="C2184" t="s">
        <v>7</v>
      </c>
      <c r="D2184" t="s">
        <v>1</v>
      </c>
      <c r="E2184" t="s">
        <v>15</v>
      </c>
      <c r="F2184" t="s">
        <v>23</v>
      </c>
    </row>
    <row r="2185" spans="1:6" x14ac:dyDescent="0.3">
      <c r="A2185">
        <v>2184</v>
      </c>
      <c r="B2185" t="s">
        <v>16</v>
      </c>
      <c r="C2185" t="s">
        <v>12</v>
      </c>
      <c r="D2185" t="s">
        <v>8</v>
      </c>
      <c r="E2185" t="s">
        <v>15</v>
      </c>
      <c r="F2185" t="s">
        <v>23</v>
      </c>
    </row>
    <row r="2186" spans="1:6" x14ac:dyDescent="0.3">
      <c r="A2186">
        <v>2185</v>
      </c>
      <c r="B2186" t="s">
        <v>16</v>
      </c>
      <c r="C2186" t="s">
        <v>24</v>
      </c>
      <c r="D2186" t="s">
        <v>8</v>
      </c>
      <c r="E2186" t="s">
        <v>15</v>
      </c>
      <c r="F2186" t="s">
        <v>20</v>
      </c>
    </row>
    <row r="2187" spans="1:6" x14ac:dyDescent="0.3">
      <c r="A2187">
        <v>2186</v>
      </c>
      <c r="B2187" t="s">
        <v>14</v>
      </c>
      <c r="C2187" t="s">
        <v>12</v>
      </c>
      <c r="D2187" t="s">
        <v>1</v>
      </c>
      <c r="E2187" t="s">
        <v>21</v>
      </c>
      <c r="F2187" t="s">
        <v>13</v>
      </c>
    </row>
    <row r="2188" spans="1:6" x14ac:dyDescent="0.3">
      <c r="A2188">
        <v>2187</v>
      </c>
      <c r="B2188" t="s">
        <v>25</v>
      </c>
      <c r="C2188" t="s">
        <v>7</v>
      </c>
      <c r="D2188" t="s">
        <v>8</v>
      </c>
      <c r="E2188" t="s">
        <v>9</v>
      </c>
      <c r="F2188" t="s">
        <v>13</v>
      </c>
    </row>
    <row r="2189" spans="1:6" x14ac:dyDescent="0.3">
      <c r="A2189">
        <v>2188</v>
      </c>
      <c r="B2189" t="s">
        <v>14</v>
      </c>
      <c r="C2189" t="s">
        <v>7</v>
      </c>
      <c r="D2189" t="s">
        <v>1</v>
      </c>
      <c r="E2189" t="s">
        <v>21</v>
      </c>
      <c r="F2189" t="s">
        <v>23</v>
      </c>
    </row>
    <row r="2190" spans="1:6" x14ac:dyDescent="0.3">
      <c r="A2190">
        <v>2189</v>
      </c>
      <c r="B2190" t="s">
        <v>6</v>
      </c>
      <c r="C2190" t="s">
        <v>7</v>
      </c>
      <c r="D2190" t="s">
        <v>22</v>
      </c>
      <c r="E2190" t="s">
        <v>19</v>
      </c>
      <c r="F2190" t="s">
        <v>10</v>
      </c>
    </row>
    <row r="2191" spans="1:6" x14ac:dyDescent="0.3">
      <c r="A2191">
        <v>2190</v>
      </c>
      <c r="B2191" t="s">
        <v>18</v>
      </c>
      <c r="C2191" t="s">
        <v>12</v>
      </c>
      <c r="D2191" t="s">
        <v>1</v>
      </c>
      <c r="E2191" t="s">
        <v>19</v>
      </c>
      <c r="F2191" t="s">
        <v>10</v>
      </c>
    </row>
    <row r="2192" spans="1:6" x14ac:dyDescent="0.3">
      <c r="A2192">
        <v>2191</v>
      </c>
      <c r="B2192" t="s">
        <v>18</v>
      </c>
      <c r="C2192" t="s">
        <v>12</v>
      </c>
      <c r="D2192" t="s">
        <v>8</v>
      </c>
      <c r="E2192" t="s">
        <v>21</v>
      </c>
      <c r="F2192" t="s">
        <v>23</v>
      </c>
    </row>
    <row r="2193" spans="1:6" x14ac:dyDescent="0.3">
      <c r="A2193">
        <v>2192</v>
      </c>
      <c r="B2193" t="s">
        <v>6</v>
      </c>
      <c r="C2193" t="s">
        <v>7</v>
      </c>
      <c r="D2193" t="s">
        <v>1</v>
      </c>
      <c r="E2193" t="s">
        <v>15</v>
      </c>
      <c r="F2193" t="s">
        <v>20</v>
      </c>
    </row>
    <row r="2194" spans="1:6" x14ac:dyDescent="0.3">
      <c r="A2194">
        <v>2193</v>
      </c>
      <c r="B2194" t="s">
        <v>16</v>
      </c>
      <c r="C2194" t="s">
        <v>7</v>
      </c>
      <c r="D2194" t="s">
        <v>8</v>
      </c>
      <c r="E2194" t="s">
        <v>9</v>
      </c>
      <c r="F2194" t="s">
        <v>13</v>
      </c>
    </row>
    <row r="2195" spans="1:6" x14ac:dyDescent="0.3">
      <c r="A2195">
        <v>2194</v>
      </c>
      <c r="B2195" t="s">
        <v>11</v>
      </c>
      <c r="C2195" t="s">
        <v>12</v>
      </c>
      <c r="D2195" t="s">
        <v>22</v>
      </c>
      <c r="E2195" t="s">
        <v>19</v>
      </c>
      <c r="F2195" t="s">
        <v>10</v>
      </c>
    </row>
    <row r="2196" spans="1:6" x14ac:dyDescent="0.3">
      <c r="A2196">
        <v>2195</v>
      </c>
      <c r="B2196" t="s">
        <v>16</v>
      </c>
      <c r="C2196" t="s">
        <v>12</v>
      </c>
      <c r="D2196" t="s">
        <v>22</v>
      </c>
      <c r="E2196" t="s">
        <v>21</v>
      </c>
      <c r="F2196" t="s">
        <v>23</v>
      </c>
    </row>
    <row r="2197" spans="1:6" x14ac:dyDescent="0.3">
      <c r="A2197">
        <v>2196</v>
      </c>
      <c r="B2197" t="s">
        <v>11</v>
      </c>
      <c r="C2197" t="s">
        <v>12</v>
      </c>
      <c r="D2197" t="s">
        <v>1</v>
      </c>
      <c r="E2197" t="s">
        <v>9</v>
      </c>
      <c r="F2197" t="s">
        <v>23</v>
      </c>
    </row>
    <row r="2198" spans="1:6" x14ac:dyDescent="0.3">
      <c r="A2198">
        <v>2197</v>
      </c>
      <c r="B2198" t="s">
        <v>25</v>
      </c>
      <c r="C2198" t="s">
        <v>12</v>
      </c>
      <c r="D2198" t="s">
        <v>1</v>
      </c>
      <c r="E2198" t="s">
        <v>15</v>
      </c>
      <c r="F2198" t="s">
        <v>20</v>
      </c>
    </row>
    <row r="2199" spans="1:6" x14ac:dyDescent="0.3">
      <c r="A2199">
        <v>2198</v>
      </c>
      <c r="B2199" t="s">
        <v>11</v>
      </c>
      <c r="C2199" t="s">
        <v>12</v>
      </c>
      <c r="D2199" t="s">
        <v>8</v>
      </c>
      <c r="E2199" t="s">
        <v>9</v>
      </c>
      <c r="F2199" t="s">
        <v>23</v>
      </c>
    </row>
    <row r="2200" spans="1:6" x14ac:dyDescent="0.3">
      <c r="A2200">
        <v>2199</v>
      </c>
      <c r="B2200" t="s">
        <v>25</v>
      </c>
      <c r="C2200" t="s">
        <v>12</v>
      </c>
      <c r="D2200" t="s">
        <v>8</v>
      </c>
      <c r="E2200" t="s">
        <v>9</v>
      </c>
      <c r="F2200" t="s">
        <v>23</v>
      </c>
    </row>
    <row r="2201" spans="1:6" x14ac:dyDescent="0.3">
      <c r="A2201">
        <v>2200</v>
      </c>
      <c r="B2201" t="s">
        <v>18</v>
      </c>
      <c r="C2201" t="s">
        <v>7</v>
      </c>
      <c r="D2201" t="s">
        <v>22</v>
      </c>
      <c r="E2201" t="s">
        <v>19</v>
      </c>
      <c r="F2201" t="s">
        <v>10</v>
      </c>
    </row>
    <row r="2202" spans="1:6" x14ac:dyDescent="0.3">
      <c r="A2202">
        <v>2201</v>
      </c>
      <c r="B2202" t="s">
        <v>11</v>
      </c>
      <c r="C2202" t="s">
        <v>12</v>
      </c>
      <c r="D2202" t="s">
        <v>1</v>
      </c>
      <c r="E2202" t="s">
        <v>9</v>
      </c>
      <c r="F2202" t="s">
        <v>20</v>
      </c>
    </row>
    <row r="2203" spans="1:6" x14ac:dyDescent="0.3">
      <c r="A2203">
        <v>2202</v>
      </c>
      <c r="B2203" t="s">
        <v>18</v>
      </c>
      <c r="C2203" t="s">
        <v>12</v>
      </c>
      <c r="D2203" t="s">
        <v>22</v>
      </c>
      <c r="E2203" t="s">
        <v>19</v>
      </c>
      <c r="F2203" t="s">
        <v>13</v>
      </c>
    </row>
    <row r="2204" spans="1:6" x14ac:dyDescent="0.3">
      <c r="A2204">
        <v>2203</v>
      </c>
      <c r="B2204" t="s">
        <v>6</v>
      </c>
      <c r="C2204" t="s">
        <v>12</v>
      </c>
      <c r="D2204" t="s">
        <v>1</v>
      </c>
      <c r="E2204" t="s">
        <v>21</v>
      </c>
      <c r="F2204" t="s">
        <v>20</v>
      </c>
    </row>
    <row r="2205" spans="1:6" x14ac:dyDescent="0.3">
      <c r="A2205">
        <v>2204</v>
      </c>
      <c r="B2205" t="s">
        <v>18</v>
      </c>
      <c r="C2205" t="s">
        <v>12</v>
      </c>
      <c r="D2205" t="s">
        <v>22</v>
      </c>
      <c r="E2205" t="s">
        <v>19</v>
      </c>
      <c r="F2205" t="s">
        <v>10</v>
      </c>
    </row>
    <row r="2206" spans="1:6" x14ac:dyDescent="0.3">
      <c r="A2206">
        <v>2205</v>
      </c>
      <c r="B2206" t="s">
        <v>16</v>
      </c>
      <c r="C2206" t="s">
        <v>24</v>
      </c>
      <c r="D2206" t="s">
        <v>8</v>
      </c>
      <c r="E2206" t="s">
        <v>9</v>
      </c>
      <c r="F2206" t="s">
        <v>23</v>
      </c>
    </row>
    <row r="2207" spans="1:6" x14ac:dyDescent="0.3">
      <c r="A2207">
        <v>2206</v>
      </c>
      <c r="B2207" t="s">
        <v>6</v>
      </c>
      <c r="C2207" t="s">
        <v>7</v>
      </c>
      <c r="D2207" t="s">
        <v>22</v>
      </c>
      <c r="E2207" t="s">
        <v>9</v>
      </c>
      <c r="F2207" t="s">
        <v>23</v>
      </c>
    </row>
    <row r="2208" spans="1:6" x14ac:dyDescent="0.3">
      <c r="A2208">
        <v>2207</v>
      </c>
      <c r="B2208" t="s">
        <v>11</v>
      </c>
      <c r="C2208" t="s">
        <v>24</v>
      </c>
      <c r="D2208" t="s">
        <v>1</v>
      </c>
      <c r="E2208" t="s">
        <v>9</v>
      </c>
      <c r="F2208" t="s">
        <v>20</v>
      </c>
    </row>
    <row r="2209" spans="1:6" x14ac:dyDescent="0.3">
      <c r="A2209">
        <v>2208</v>
      </c>
      <c r="B2209" t="s">
        <v>6</v>
      </c>
      <c r="C2209" t="s">
        <v>7</v>
      </c>
      <c r="D2209" t="s">
        <v>8</v>
      </c>
      <c r="E2209" t="s">
        <v>21</v>
      </c>
      <c r="F2209" t="s">
        <v>23</v>
      </c>
    </row>
    <row r="2210" spans="1:6" x14ac:dyDescent="0.3">
      <c r="A2210">
        <v>2209</v>
      </c>
      <c r="B2210" t="s">
        <v>18</v>
      </c>
      <c r="C2210" t="s">
        <v>12</v>
      </c>
      <c r="D2210" t="s">
        <v>1</v>
      </c>
      <c r="E2210" t="s">
        <v>21</v>
      </c>
      <c r="F2210" t="s">
        <v>20</v>
      </c>
    </row>
    <row r="2211" spans="1:6" x14ac:dyDescent="0.3">
      <c r="A2211">
        <v>2210</v>
      </c>
      <c r="B2211" t="s">
        <v>11</v>
      </c>
      <c r="C2211" t="s">
        <v>24</v>
      </c>
      <c r="D2211" t="s">
        <v>1</v>
      </c>
      <c r="E2211" t="s">
        <v>9</v>
      </c>
      <c r="F2211" t="s">
        <v>13</v>
      </c>
    </row>
    <row r="2212" spans="1:6" x14ac:dyDescent="0.3">
      <c r="A2212">
        <v>2211</v>
      </c>
      <c r="B2212" t="s">
        <v>14</v>
      </c>
      <c r="C2212" t="s">
        <v>12</v>
      </c>
      <c r="D2212" t="s">
        <v>1</v>
      </c>
      <c r="E2212" t="s">
        <v>21</v>
      </c>
      <c r="F2212" t="s">
        <v>13</v>
      </c>
    </row>
    <row r="2213" spans="1:6" x14ac:dyDescent="0.3">
      <c r="A2213">
        <v>2212</v>
      </c>
      <c r="B2213" t="s">
        <v>11</v>
      </c>
      <c r="C2213" t="s">
        <v>12</v>
      </c>
      <c r="D2213" t="s">
        <v>8</v>
      </c>
      <c r="E2213" t="s">
        <v>9</v>
      </c>
      <c r="F2213" t="s">
        <v>13</v>
      </c>
    </row>
    <row r="2214" spans="1:6" x14ac:dyDescent="0.3">
      <c r="A2214">
        <v>2213</v>
      </c>
      <c r="B2214" t="s">
        <v>18</v>
      </c>
      <c r="C2214" t="s">
        <v>12</v>
      </c>
      <c r="D2214" t="s">
        <v>8</v>
      </c>
      <c r="E2214" t="s">
        <v>19</v>
      </c>
      <c r="F2214" t="s">
        <v>10</v>
      </c>
    </row>
    <row r="2215" spans="1:6" x14ac:dyDescent="0.3">
      <c r="A2215">
        <v>2214</v>
      </c>
      <c r="B2215" t="s">
        <v>14</v>
      </c>
      <c r="C2215" t="s">
        <v>12</v>
      </c>
      <c r="D2215" t="s">
        <v>22</v>
      </c>
      <c r="E2215" t="s">
        <v>21</v>
      </c>
      <c r="F2215" t="s">
        <v>13</v>
      </c>
    </row>
    <row r="2216" spans="1:6" x14ac:dyDescent="0.3">
      <c r="A2216">
        <v>2215</v>
      </c>
      <c r="B2216" t="s">
        <v>16</v>
      </c>
      <c r="C2216" t="s">
        <v>12</v>
      </c>
      <c r="D2216" t="s">
        <v>1</v>
      </c>
      <c r="E2216" t="s">
        <v>21</v>
      </c>
      <c r="F2216" t="s">
        <v>20</v>
      </c>
    </row>
    <row r="2217" spans="1:6" x14ac:dyDescent="0.3">
      <c r="A2217">
        <v>2216</v>
      </c>
      <c r="B2217" t="s">
        <v>16</v>
      </c>
      <c r="C2217" t="s">
        <v>12</v>
      </c>
      <c r="D2217" t="s">
        <v>22</v>
      </c>
      <c r="E2217" t="s">
        <v>19</v>
      </c>
      <c r="F2217" t="s">
        <v>10</v>
      </c>
    </row>
    <row r="2218" spans="1:6" x14ac:dyDescent="0.3">
      <c r="A2218">
        <v>2217</v>
      </c>
      <c r="B2218" t="s">
        <v>25</v>
      </c>
      <c r="C2218" t="s">
        <v>24</v>
      </c>
      <c r="D2218" t="s">
        <v>1</v>
      </c>
      <c r="E2218" t="s">
        <v>15</v>
      </c>
      <c r="F2218" t="s">
        <v>20</v>
      </c>
    </row>
    <row r="2219" spans="1:6" x14ac:dyDescent="0.3">
      <c r="A2219">
        <v>2218</v>
      </c>
      <c r="B2219" t="s">
        <v>16</v>
      </c>
      <c r="C2219" t="s">
        <v>24</v>
      </c>
      <c r="D2219" t="s">
        <v>22</v>
      </c>
      <c r="E2219" t="s">
        <v>9</v>
      </c>
      <c r="F2219" t="s">
        <v>20</v>
      </c>
    </row>
    <row r="2220" spans="1:6" x14ac:dyDescent="0.3">
      <c r="A2220">
        <v>2219</v>
      </c>
      <c r="B2220" t="s">
        <v>11</v>
      </c>
      <c r="C2220" t="s">
        <v>7</v>
      </c>
      <c r="D2220" t="s">
        <v>8</v>
      </c>
      <c r="E2220" t="s">
        <v>9</v>
      </c>
      <c r="F2220" t="s">
        <v>13</v>
      </c>
    </row>
    <row r="2221" spans="1:6" x14ac:dyDescent="0.3">
      <c r="A2221">
        <v>2220</v>
      </c>
      <c r="B2221" t="s">
        <v>16</v>
      </c>
      <c r="C2221" t="s">
        <v>24</v>
      </c>
      <c r="D2221" t="s">
        <v>22</v>
      </c>
      <c r="E2221" t="s">
        <v>9</v>
      </c>
      <c r="F2221" t="s">
        <v>23</v>
      </c>
    </row>
    <row r="2222" spans="1:6" x14ac:dyDescent="0.3">
      <c r="A2222">
        <v>2221</v>
      </c>
      <c r="B2222" t="s">
        <v>14</v>
      </c>
      <c r="C2222" t="s">
        <v>7</v>
      </c>
      <c r="D2222" t="s">
        <v>22</v>
      </c>
      <c r="E2222" t="s">
        <v>9</v>
      </c>
      <c r="F2222" t="s">
        <v>23</v>
      </c>
    </row>
    <row r="2223" spans="1:6" x14ac:dyDescent="0.3">
      <c r="A2223">
        <v>2222</v>
      </c>
      <c r="B2223" t="s">
        <v>11</v>
      </c>
      <c r="C2223" t="s">
        <v>7</v>
      </c>
      <c r="D2223" t="s">
        <v>1</v>
      </c>
      <c r="E2223" t="s">
        <v>9</v>
      </c>
      <c r="F2223" t="s">
        <v>23</v>
      </c>
    </row>
    <row r="2224" spans="1:6" x14ac:dyDescent="0.3">
      <c r="A2224">
        <v>2223</v>
      </c>
      <c r="B2224" t="s">
        <v>16</v>
      </c>
      <c r="C2224" t="s">
        <v>7</v>
      </c>
      <c r="D2224" t="s">
        <v>1</v>
      </c>
      <c r="E2224" t="s">
        <v>9</v>
      </c>
      <c r="F2224" t="s">
        <v>13</v>
      </c>
    </row>
    <row r="2225" spans="1:6" x14ac:dyDescent="0.3">
      <c r="A2225">
        <v>2224</v>
      </c>
      <c r="B2225" t="s">
        <v>11</v>
      </c>
      <c r="C2225" t="s">
        <v>12</v>
      </c>
      <c r="D2225" t="s">
        <v>22</v>
      </c>
      <c r="E2225" t="s">
        <v>9</v>
      </c>
      <c r="F2225" t="s">
        <v>23</v>
      </c>
    </row>
    <row r="2226" spans="1:6" x14ac:dyDescent="0.3">
      <c r="A2226">
        <v>2225</v>
      </c>
      <c r="B2226" t="s">
        <v>11</v>
      </c>
      <c r="C2226" t="s">
        <v>7</v>
      </c>
      <c r="D2226" t="s">
        <v>8</v>
      </c>
      <c r="E2226" t="s">
        <v>9</v>
      </c>
      <c r="F2226" t="s">
        <v>20</v>
      </c>
    </row>
    <row r="2227" spans="1:6" x14ac:dyDescent="0.3">
      <c r="A2227">
        <v>2226</v>
      </c>
      <c r="B2227" t="s">
        <v>11</v>
      </c>
      <c r="C2227" t="s">
        <v>12</v>
      </c>
      <c r="D2227" t="s">
        <v>22</v>
      </c>
      <c r="E2227" t="s">
        <v>19</v>
      </c>
      <c r="F2227" t="s">
        <v>10</v>
      </c>
    </row>
    <row r="2228" spans="1:6" x14ac:dyDescent="0.3">
      <c r="A2228">
        <v>2227</v>
      </c>
      <c r="B2228" t="s">
        <v>25</v>
      </c>
      <c r="C2228" t="s">
        <v>12</v>
      </c>
      <c r="D2228" t="s">
        <v>8</v>
      </c>
      <c r="E2228" t="s">
        <v>9</v>
      </c>
      <c r="F2228" t="s">
        <v>13</v>
      </c>
    </row>
    <row r="2229" spans="1:6" x14ac:dyDescent="0.3">
      <c r="A2229">
        <v>2228</v>
      </c>
      <c r="B2229" t="s">
        <v>18</v>
      </c>
      <c r="C2229" t="s">
        <v>7</v>
      </c>
      <c r="D2229" t="s">
        <v>8</v>
      </c>
      <c r="E2229" t="s">
        <v>21</v>
      </c>
      <c r="F2229" t="s">
        <v>13</v>
      </c>
    </row>
    <row r="2230" spans="1:6" x14ac:dyDescent="0.3">
      <c r="A2230">
        <v>2229</v>
      </c>
      <c r="B2230" t="s">
        <v>6</v>
      </c>
      <c r="C2230" t="s">
        <v>7</v>
      </c>
      <c r="D2230" t="s">
        <v>1</v>
      </c>
      <c r="E2230" t="s">
        <v>19</v>
      </c>
      <c r="F2230" t="s">
        <v>10</v>
      </c>
    </row>
    <row r="2231" spans="1:6" x14ac:dyDescent="0.3">
      <c r="A2231">
        <v>2230</v>
      </c>
      <c r="B2231" t="s">
        <v>11</v>
      </c>
      <c r="C2231" t="s">
        <v>24</v>
      </c>
      <c r="D2231" t="s">
        <v>1</v>
      </c>
      <c r="E2231" t="s">
        <v>9</v>
      </c>
      <c r="F2231" t="s">
        <v>20</v>
      </c>
    </row>
    <row r="2232" spans="1:6" x14ac:dyDescent="0.3">
      <c r="A2232">
        <v>2231</v>
      </c>
      <c r="B2232" t="s">
        <v>6</v>
      </c>
      <c r="C2232" t="s">
        <v>7</v>
      </c>
      <c r="D2232" t="s">
        <v>22</v>
      </c>
      <c r="E2232" t="s">
        <v>21</v>
      </c>
      <c r="F2232" t="s">
        <v>13</v>
      </c>
    </row>
    <row r="2233" spans="1:6" x14ac:dyDescent="0.3">
      <c r="A2233">
        <v>2232</v>
      </c>
      <c r="B2233" t="s">
        <v>14</v>
      </c>
      <c r="C2233" t="s">
        <v>7</v>
      </c>
      <c r="D2233" t="s">
        <v>1</v>
      </c>
      <c r="E2233" t="s">
        <v>9</v>
      </c>
      <c r="F2233" t="s">
        <v>13</v>
      </c>
    </row>
    <row r="2234" spans="1:6" x14ac:dyDescent="0.3">
      <c r="A2234">
        <v>2233</v>
      </c>
      <c r="B2234" t="s">
        <v>18</v>
      </c>
      <c r="C2234" t="s">
        <v>7</v>
      </c>
      <c r="D2234" t="s">
        <v>1</v>
      </c>
      <c r="E2234" t="s">
        <v>19</v>
      </c>
      <c r="F2234" t="s">
        <v>10</v>
      </c>
    </row>
    <row r="2235" spans="1:6" x14ac:dyDescent="0.3">
      <c r="A2235">
        <v>2234</v>
      </c>
      <c r="B2235" t="s">
        <v>14</v>
      </c>
      <c r="C2235" t="s">
        <v>12</v>
      </c>
      <c r="D2235" t="s">
        <v>22</v>
      </c>
      <c r="E2235" t="s">
        <v>19</v>
      </c>
      <c r="F2235" t="s">
        <v>10</v>
      </c>
    </row>
    <row r="2236" spans="1:6" x14ac:dyDescent="0.3">
      <c r="A2236">
        <v>2235</v>
      </c>
      <c r="B2236" t="s">
        <v>14</v>
      </c>
      <c r="C2236" t="s">
        <v>12</v>
      </c>
      <c r="D2236" t="s">
        <v>22</v>
      </c>
      <c r="E2236" t="s">
        <v>21</v>
      </c>
      <c r="F2236" t="s">
        <v>10</v>
      </c>
    </row>
    <row r="2237" spans="1:6" x14ac:dyDescent="0.3">
      <c r="A2237">
        <v>2236</v>
      </c>
      <c r="B2237" t="s">
        <v>25</v>
      </c>
      <c r="C2237" t="s">
        <v>7</v>
      </c>
      <c r="D2237" t="s">
        <v>22</v>
      </c>
      <c r="E2237" t="s">
        <v>15</v>
      </c>
      <c r="F2237" t="s">
        <v>23</v>
      </c>
    </row>
    <row r="2238" spans="1:6" x14ac:dyDescent="0.3">
      <c r="A2238">
        <v>2237</v>
      </c>
      <c r="B2238" t="s">
        <v>25</v>
      </c>
      <c r="C2238" t="s">
        <v>12</v>
      </c>
      <c r="D2238" t="s">
        <v>22</v>
      </c>
      <c r="E2238" t="s">
        <v>9</v>
      </c>
      <c r="F2238" t="s">
        <v>20</v>
      </c>
    </row>
    <row r="2239" spans="1:6" x14ac:dyDescent="0.3">
      <c r="A2239">
        <v>2238</v>
      </c>
      <c r="B2239" t="s">
        <v>25</v>
      </c>
      <c r="C2239" t="s">
        <v>12</v>
      </c>
      <c r="D2239" t="s">
        <v>1</v>
      </c>
      <c r="E2239" t="s">
        <v>21</v>
      </c>
      <c r="F2239" t="s">
        <v>20</v>
      </c>
    </row>
    <row r="2240" spans="1:6" x14ac:dyDescent="0.3">
      <c r="A2240">
        <v>2239</v>
      </c>
      <c r="B2240" t="s">
        <v>25</v>
      </c>
      <c r="C2240" t="s">
        <v>12</v>
      </c>
      <c r="D2240" t="s">
        <v>8</v>
      </c>
      <c r="E2240" t="s">
        <v>15</v>
      </c>
      <c r="F2240" t="s">
        <v>20</v>
      </c>
    </row>
  </sheetData>
  <autoFilter ref="A1:F224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01"/>
  <sheetViews>
    <sheetView tabSelected="1" topLeftCell="A42" zoomScale="61" workbookViewId="0">
      <selection activeCell="M2" sqref="M2"/>
    </sheetView>
  </sheetViews>
  <sheetFormatPr defaultRowHeight="14" x14ac:dyDescent="0.3"/>
  <cols>
    <col min="1" max="1" width="13.4140625" customWidth="1"/>
    <col min="2" max="2" width="13.25" customWidth="1"/>
    <col min="3" max="3" width="10.33203125" customWidth="1"/>
    <col min="4" max="4" width="12.75" customWidth="1"/>
    <col min="6" max="6" width="15.9140625" customWidth="1"/>
    <col min="7" max="7" width="14.75" customWidth="1"/>
    <col min="8" max="8" width="15.25" customWidth="1"/>
    <col min="10" max="10" width="15.9140625" customWidth="1"/>
  </cols>
  <sheetData>
    <row r="1" spans="1:22" x14ac:dyDescent="0.3">
      <c r="A1" s="22" t="s">
        <v>27</v>
      </c>
      <c r="B1" s="23" t="s">
        <v>28</v>
      </c>
      <c r="C1" s="24" t="s">
        <v>29</v>
      </c>
      <c r="D1" t="s">
        <v>30</v>
      </c>
      <c r="F1" s="26" t="s">
        <v>31</v>
      </c>
      <c r="G1" s="28" t="s">
        <v>32</v>
      </c>
      <c r="H1" s="30" t="s">
        <v>33</v>
      </c>
      <c r="I1" s="3" t="s">
        <v>36</v>
      </c>
    </row>
    <row r="2" spans="1:22" x14ac:dyDescent="0.3">
      <c r="A2" s="5">
        <v>7.7822200000000003E-3</v>
      </c>
      <c r="B2" s="11">
        <v>-0.45636709800000003</v>
      </c>
      <c r="C2" s="17">
        <v>2.3521816449999999</v>
      </c>
      <c r="D2">
        <v>2.4700000000000002</v>
      </c>
      <c r="F2" s="25">
        <f>POWER(A2,2)</f>
        <v>6.0562948128400004E-5</v>
      </c>
      <c r="G2" s="29">
        <f>POWER(B2,2)</f>
        <v>0.20827092813694162</v>
      </c>
      <c r="H2" s="31">
        <f>POWER(C2,2)</f>
        <v>5.5327584910749055</v>
      </c>
      <c r="I2" s="3">
        <v>-2</v>
      </c>
      <c r="J2" s="3"/>
      <c r="K2" s="33" t="s">
        <v>27</v>
      </c>
      <c r="L2" s="34" t="s">
        <v>28</v>
      </c>
      <c r="M2" s="35" t="s">
        <v>29</v>
      </c>
    </row>
    <row r="3" spans="1:22" x14ac:dyDescent="0.3">
      <c r="A3" s="5">
        <v>2.738273263</v>
      </c>
      <c r="B3" s="11">
        <v>2.6197372510000001</v>
      </c>
      <c r="C3" s="17">
        <v>2.505986863</v>
      </c>
      <c r="D3">
        <v>2.4700000000000002</v>
      </c>
      <c r="F3" s="25">
        <f t="shared" ref="F3:F66" si="0">POWER(A3,2)</f>
        <v>7.4981404628606674</v>
      </c>
      <c r="G3" s="29">
        <f t="shared" ref="G3:G66" si="1">POWER(B3,2)</f>
        <v>6.8630232642770377</v>
      </c>
      <c r="H3" s="31">
        <f t="shared" ref="H3:H66" si="2">POWER(C3,2)</f>
        <v>6.2799701575285809</v>
      </c>
      <c r="I3" s="3">
        <v>-1</v>
      </c>
      <c r="J3" s="32" t="s">
        <v>34</v>
      </c>
      <c r="K3" s="25">
        <f>_xlfn.STDEV.P(A2:A1001)</f>
        <v>1.4137486307812401</v>
      </c>
      <c r="L3" s="29">
        <f>_xlfn.STDEV.P(B2:B1001)</f>
        <v>0.97424365462733675</v>
      </c>
      <c r="M3" s="31">
        <f>_xlfn.STDEV.P(C2:C1001)</f>
        <v>4.8712182737438547E-2</v>
      </c>
    </row>
    <row r="4" spans="1:22" x14ac:dyDescent="0.3">
      <c r="A4" s="5">
        <v>4.1442609939999997</v>
      </c>
      <c r="B4" s="11">
        <v>3.4496397980000002</v>
      </c>
      <c r="C4" s="17">
        <v>2.5474819900000001</v>
      </c>
      <c r="D4">
        <v>2.4700000000000002</v>
      </c>
      <c r="F4" s="25">
        <f t="shared" si="0"/>
        <v>17.174899186389865</v>
      </c>
      <c r="G4" s="29">
        <f t="shared" si="1"/>
        <v>11.900014735945483</v>
      </c>
      <c r="H4" s="31">
        <f t="shared" si="2"/>
        <v>6.4896644893743609</v>
      </c>
      <c r="I4" s="3">
        <v>0</v>
      </c>
      <c r="J4" s="32" t="s">
        <v>35</v>
      </c>
      <c r="K4" s="25">
        <f>AVERAGE(F2:F1001)</f>
        <v>8.122095754526244</v>
      </c>
      <c r="L4" s="29">
        <f>AVERAGE(G2:G1001)</f>
        <v>7.085642939889655</v>
      </c>
      <c r="M4" s="31">
        <f>AVERAGE(H2:H1001)</f>
        <v>6.2466727843021772</v>
      </c>
    </row>
    <row r="5" spans="1:22" x14ac:dyDescent="0.3">
      <c r="A5" s="5">
        <v>5.8900723000000002E-2</v>
      </c>
      <c r="B5" s="11">
        <v>0.23577656</v>
      </c>
      <c r="C5" s="17">
        <v>2.3867888279999998</v>
      </c>
      <c r="D5">
        <v>2.4700000000000002</v>
      </c>
      <c r="F5" s="25">
        <f t="shared" si="0"/>
        <v>3.4692951699227294E-3</v>
      </c>
      <c r="G5" s="29">
        <f t="shared" si="1"/>
        <v>5.5590586245433601E-2</v>
      </c>
      <c r="H5" s="31">
        <f t="shared" si="2"/>
        <v>5.6967609094656124</v>
      </c>
      <c r="I5" s="3">
        <v>1</v>
      </c>
    </row>
    <row r="6" spans="1:22" x14ac:dyDescent="0.3">
      <c r="A6" s="5">
        <v>2.6467177340000001</v>
      </c>
      <c r="B6" s="11">
        <v>2.5736190489999999</v>
      </c>
      <c r="C6" s="17">
        <v>2.5036809519999998</v>
      </c>
      <c r="D6">
        <v>2.4700000000000002</v>
      </c>
      <c r="F6" s="25">
        <f t="shared" si="0"/>
        <v>7.005114763470095</v>
      </c>
      <c r="G6" s="29">
        <f t="shared" si="1"/>
        <v>6.6235150093756641</v>
      </c>
      <c r="H6" s="31">
        <f t="shared" si="2"/>
        <v>6.2684183094076253</v>
      </c>
      <c r="I6" s="3">
        <v>2</v>
      </c>
    </row>
    <row r="7" spans="1:22" ht="14.5" thickBot="1" x14ac:dyDescent="0.35">
      <c r="A7" s="5">
        <v>4.1969054229999996</v>
      </c>
      <c r="B7" s="11">
        <v>3.4919176589999998</v>
      </c>
      <c r="C7" s="17">
        <v>2.5495958829999998</v>
      </c>
      <c r="D7">
        <v>2.4700000000000002</v>
      </c>
      <c r="F7" s="25">
        <f t="shared" si="0"/>
        <v>17.614015129606805</v>
      </c>
      <c r="G7" s="29">
        <f t="shared" si="1"/>
        <v>12.193488937236038</v>
      </c>
      <c r="H7" s="31">
        <f t="shared" si="2"/>
        <v>6.5004391666105485</v>
      </c>
      <c r="I7" s="3">
        <v>3</v>
      </c>
    </row>
    <row r="8" spans="1:22" ht="15" thickBot="1" x14ac:dyDescent="0.4">
      <c r="A8" s="5">
        <v>3.1762138740000001</v>
      </c>
      <c r="B8" s="11">
        <v>2.8457716959999999</v>
      </c>
      <c r="C8" s="17">
        <v>2.5172885850000002</v>
      </c>
      <c r="D8">
        <v>2.4700000000000002</v>
      </c>
      <c r="F8" s="25">
        <f t="shared" si="0"/>
        <v>10.088334573390089</v>
      </c>
      <c r="G8" s="29">
        <f t="shared" si="1"/>
        <v>8.0984165457547164</v>
      </c>
      <c r="H8" s="31">
        <f t="shared" si="2"/>
        <v>6.3367418201713033</v>
      </c>
      <c r="I8" s="3">
        <v>4</v>
      </c>
      <c r="K8" s="4" t="s">
        <v>27</v>
      </c>
      <c r="L8" s="4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 ht="14.5" x14ac:dyDescent="0.35">
      <c r="A9" s="5">
        <v>3.1397442550000001</v>
      </c>
      <c r="B9" s="11">
        <v>2.826425607</v>
      </c>
      <c r="C9" s="17">
        <v>2.5163212800000001</v>
      </c>
      <c r="D9">
        <v>2.4700000000000002</v>
      </c>
      <c r="F9" s="25">
        <f t="shared" si="0"/>
        <v>9.8579939868055053</v>
      </c>
      <c r="G9" s="29">
        <f t="shared" si="1"/>
        <v>7.9886817119053184</v>
      </c>
      <c r="H9" s="31">
        <f t="shared" si="2"/>
        <v>6.3318727841808391</v>
      </c>
      <c r="I9" s="3">
        <v>5</v>
      </c>
      <c r="K9" s="6"/>
      <c r="L9" s="6"/>
      <c r="M9" s="5"/>
      <c r="N9" s="7" t="s">
        <v>49</v>
      </c>
      <c r="O9" s="7" t="s">
        <v>51</v>
      </c>
      <c r="P9" s="5"/>
      <c r="Q9" s="5"/>
      <c r="R9" s="5"/>
      <c r="S9" s="5"/>
      <c r="T9" s="5"/>
      <c r="U9" s="5"/>
      <c r="V9" s="5"/>
    </row>
    <row r="10" spans="1:22" x14ac:dyDescent="0.3">
      <c r="A10" s="5">
        <v>1.672414319</v>
      </c>
      <c r="B10" s="11">
        <v>2.0724317609999998</v>
      </c>
      <c r="C10" s="17">
        <v>2.4786215880000002</v>
      </c>
      <c r="D10">
        <v>2.4700000000000002</v>
      </c>
      <c r="F10" s="25">
        <f t="shared" si="0"/>
        <v>2.7969696543962339</v>
      </c>
      <c r="G10" s="29">
        <f t="shared" si="1"/>
        <v>4.2949734040015608</v>
      </c>
      <c r="H10" s="31">
        <f t="shared" si="2"/>
        <v>6.1435649764996425</v>
      </c>
      <c r="I10" s="3">
        <v>6</v>
      </c>
      <c r="K10" s="6" t="s">
        <v>37</v>
      </c>
      <c r="L10" s="6">
        <v>2.4745525986509991</v>
      </c>
      <c r="M10" s="5"/>
      <c r="N10" s="8">
        <v>-2</v>
      </c>
      <c r="O10" s="6">
        <v>0</v>
      </c>
      <c r="P10" s="5"/>
      <c r="Q10" s="5"/>
      <c r="R10" s="5"/>
      <c r="S10" s="5"/>
      <c r="T10" s="5"/>
      <c r="U10" s="5"/>
      <c r="V10" s="5"/>
    </row>
    <row r="11" spans="1:22" x14ac:dyDescent="0.3">
      <c r="A11" s="5">
        <v>0.91860713500000002</v>
      </c>
      <c r="B11" s="11">
        <v>1.5987271300000001</v>
      </c>
      <c r="C11" s="17">
        <v>2.4549363569999998</v>
      </c>
      <c r="D11">
        <v>2.4700000000000002</v>
      </c>
      <c r="F11" s="25">
        <f t="shared" si="0"/>
        <v>0.84383906847290824</v>
      </c>
      <c r="G11" s="29">
        <f t="shared" si="1"/>
        <v>2.5559284361980374</v>
      </c>
      <c r="H11" s="31">
        <f t="shared" si="2"/>
        <v>6.0267125169204308</v>
      </c>
      <c r="K11" s="6" t="s">
        <v>38</v>
      </c>
      <c r="L11" s="6">
        <v>4.472902722967205E-2</v>
      </c>
      <c r="M11" s="5"/>
      <c r="N11" s="8">
        <v>-1</v>
      </c>
      <c r="O11" s="6">
        <v>0</v>
      </c>
      <c r="P11" s="5"/>
      <c r="Q11" s="5"/>
      <c r="R11" s="5"/>
      <c r="S11" s="5"/>
      <c r="T11" s="5"/>
      <c r="U11" s="5"/>
      <c r="V11" s="5"/>
    </row>
    <row r="12" spans="1:22" x14ac:dyDescent="0.3">
      <c r="A12" s="5">
        <v>0.80278939199999999</v>
      </c>
      <c r="B12" s="11">
        <v>1.50783223</v>
      </c>
      <c r="C12" s="17">
        <v>2.4503916110000001</v>
      </c>
      <c r="D12">
        <v>2.4700000000000002</v>
      </c>
      <c r="F12" s="25">
        <f t="shared" si="0"/>
        <v>0.6444708079077297</v>
      </c>
      <c r="G12" s="29">
        <f t="shared" si="1"/>
        <v>2.2735580338267729</v>
      </c>
      <c r="H12" s="31">
        <f t="shared" si="2"/>
        <v>6.0044190472591756</v>
      </c>
      <c r="K12" s="6" t="s">
        <v>39</v>
      </c>
      <c r="L12" s="6">
        <v>2.4736777855000001</v>
      </c>
      <c r="M12" s="5"/>
      <c r="N12" s="8">
        <v>0</v>
      </c>
      <c r="O12" s="6">
        <v>0</v>
      </c>
      <c r="P12" s="5"/>
      <c r="Q12" s="5"/>
      <c r="R12" s="5"/>
      <c r="S12" s="5"/>
      <c r="T12" s="5"/>
      <c r="U12" s="5"/>
      <c r="V12" s="5"/>
    </row>
    <row r="13" spans="1:22" x14ac:dyDescent="0.3">
      <c r="A13" s="5">
        <v>4.3148594620000003</v>
      </c>
      <c r="B13" s="11">
        <v>3.5937696969999999</v>
      </c>
      <c r="C13" s="17">
        <v>2.5546884849999998</v>
      </c>
      <c r="D13">
        <v>2.4700000000000002</v>
      </c>
      <c r="F13" s="25">
        <f t="shared" si="0"/>
        <v>18.618012176810932</v>
      </c>
      <c r="G13" s="29">
        <f t="shared" si="1"/>
        <v>12.915180635075471</v>
      </c>
      <c r="H13" s="31">
        <f t="shared" si="2"/>
        <v>6.526433255391594</v>
      </c>
      <c r="K13" s="6" t="s">
        <v>40</v>
      </c>
      <c r="L13" s="6">
        <v>1.672414319</v>
      </c>
      <c r="M13" s="5"/>
      <c r="N13" s="8">
        <v>1</v>
      </c>
      <c r="O13" s="6">
        <v>189</v>
      </c>
      <c r="P13" s="5"/>
      <c r="Q13" s="5"/>
      <c r="R13" s="5"/>
      <c r="S13" s="5"/>
      <c r="T13" s="5"/>
      <c r="U13" s="5"/>
      <c r="V13" s="5"/>
    </row>
    <row r="14" spans="1:22" x14ac:dyDescent="0.3">
      <c r="A14" s="5">
        <v>3.6869411300000001</v>
      </c>
      <c r="B14" s="11">
        <v>3.1353138820000002</v>
      </c>
      <c r="C14" s="17">
        <v>2.5317656940000002</v>
      </c>
      <c r="D14">
        <v>2.4700000000000002</v>
      </c>
      <c r="F14" s="25">
        <f t="shared" si="0"/>
        <v>13.593534896085679</v>
      </c>
      <c r="G14" s="29">
        <f t="shared" si="1"/>
        <v>9.8301931386619117</v>
      </c>
      <c r="H14" s="31">
        <f t="shared" si="2"/>
        <v>6.4098375293153023</v>
      </c>
      <c r="K14" s="6" t="s">
        <v>34</v>
      </c>
      <c r="L14" s="6">
        <v>1.4144560356945506</v>
      </c>
      <c r="M14" s="5"/>
      <c r="N14" s="8">
        <v>2</v>
      </c>
      <c r="O14" s="6">
        <v>206</v>
      </c>
      <c r="P14" s="5"/>
      <c r="Q14" s="5"/>
      <c r="R14" s="5"/>
      <c r="S14" s="5"/>
      <c r="T14" s="5"/>
      <c r="U14" s="5"/>
      <c r="V14" s="5"/>
    </row>
    <row r="15" spans="1:22" x14ac:dyDescent="0.3">
      <c r="A15" s="5">
        <v>0.141911069</v>
      </c>
      <c r="B15" s="11">
        <v>0.59488144799999998</v>
      </c>
      <c r="C15" s="17">
        <v>2.4047440720000002</v>
      </c>
      <c r="D15">
        <v>2.4700000000000002</v>
      </c>
      <c r="F15" s="25">
        <f t="shared" si="0"/>
        <v>2.013875150472276E-2</v>
      </c>
      <c r="G15" s="29">
        <f t="shared" si="1"/>
        <v>0.35388393717457667</v>
      </c>
      <c r="H15" s="31">
        <f t="shared" si="2"/>
        <v>5.7827940518191419</v>
      </c>
      <c r="K15" s="6" t="s">
        <v>41</v>
      </c>
      <c r="L15" s="6">
        <v>2.0006858769127436</v>
      </c>
      <c r="M15" s="5"/>
      <c r="N15" s="8">
        <v>3</v>
      </c>
      <c r="O15" s="6">
        <v>222</v>
      </c>
      <c r="P15" s="5"/>
      <c r="Q15" s="5"/>
      <c r="R15" s="5"/>
      <c r="S15" s="5"/>
      <c r="T15" s="5"/>
      <c r="U15" s="5"/>
      <c r="V15" s="5"/>
    </row>
    <row r="16" spans="1:22" x14ac:dyDescent="0.3">
      <c r="A16" s="5">
        <v>1.6788232059999999</v>
      </c>
      <c r="B16" s="11">
        <v>2.0759503690000001</v>
      </c>
      <c r="C16" s="17">
        <v>2.4787975179999999</v>
      </c>
      <c r="D16">
        <v>2.4700000000000002</v>
      </c>
      <c r="F16" s="25">
        <f t="shared" si="0"/>
        <v>2.8184473570041182</v>
      </c>
      <c r="G16" s="29">
        <f t="shared" si="1"/>
        <v>4.3095699345512362</v>
      </c>
      <c r="H16" s="31">
        <f t="shared" si="2"/>
        <v>6.1444371352429599</v>
      </c>
      <c r="K16" s="6" t="s">
        <v>42</v>
      </c>
      <c r="L16" s="6">
        <v>-1.1318073439845449</v>
      </c>
      <c r="M16" s="5"/>
      <c r="N16" s="8">
        <v>4</v>
      </c>
      <c r="O16" s="6">
        <v>199</v>
      </c>
      <c r="P16" s="5"/>
      <c r="Q16" s="5"/>
      <c r="R16" s="5"/>
      <c r="S16" s="5"/>
      <c r="T16" s="5"/>
      <c r="U16" s="5"/>
      <c r="V16" s="5"/>
    </row>
    <row r="17" spans="1:22" x14ac:dyDescent="0.3">
      <c r="A17" s="5">
        <v>3.0117191079999999</v>
      </c>
      <c r="B17" s="11">
        <v>2.7594185840000001</v>
      </c>
      <c r="C17" s="17">
        <v>2.5129709290000002</v>
      </c>
      <c r="D17">
        <v>2.4700000000000002</v>
      </c>
      <c r="F17" s="25">
        <f t="shared" si="0"/>
        <v>9.0704519854923156</v>
      </c>
      <c r="G17" s="29">
        <f t="shared" si="1"/>
        <v>7.6143909217245653</v>
      </c>
      <c r="H17" s="31">
        <f t="shared" si="2"/>
        <v>6.3150228899991241</v>
      </c>
      <c r="K17" s="6" t="s">
        <v>43</v>
      </c>
      <c r="L17" s="6">
        <v>9.1891344751198686E-3</v>
      </c>
      <c r="M17" s="5"/>
      <c r="N17" s="8">
        <v>5</v>
      </c>
      <c r="O17" s="6">
        <v>184</v>
      </c>
      <c r="P17" s="5"/>
      <c r="Q17" s="5"/>
      <c r="R17" s="5"/>
      <c r="S17" s="5"/>
      <c r="T17" s="5"/>
      <c r="U17" s="5"/>
      <c r="V17" s="5"/>
    </row>
    <row r="18" spans="1:22" x14ac:dyDescent="0.3">
      <c r="A18" s="5">
        <v>2.733390301</v>
      </c>
      <c r="B18" s="11">
        <v>2.6172725209999999</v>
      </c>
      <c r="C18" s="17">
        <v>2.505863626</v>
      </c>
      <c r="D18">
        <v>2.4700000000000002</v>
      </c>
      <c r="F18" s="25">
        <f t="shared" si="0"/>
        <v>7.4714225376008709</v>
      </c>
      <c r="G18" s="29">
        <f t="shared" si="1"/>
        <v>6.8501154491816942</v>
      </c>
      <c r="H18" s="31">
        <f t="shared" si="2"/>
        <v>6.2793525121098677</v>
      </c>
      <c r="K18" s="6" t="s">
        <v>44</v>
      </c>
      <c r="L18" s="6">
        <v>4.9818414870000005</v>
      </c>
      <c r="M18" s="5"/>
      <c r="N18" s="8">
        <v>6</v>
      </c>
      <c r="O18" s="6">
        <v>0</v>
      </c>
      <c r="P18" s="5"/>
      <c r="Q18" s="5"/>
      <c r="R18" s="5"/>
      <c r="S18" s="5"/>
      <c r="T18" s="5"/>
      <c r="U18" s="5"/>
      <c r="V18" s="5"/>
    </row>
    <row r="19" spans="1:22" ht="14.5" thickBot="1" x14ac:dyDescent="0.35">
      <c r="A19" s="5">
        <v>0.25666066500000001</v>
      </c>
      <c r="B19" s="11">
        <v>0.86792994800000001</v>
      </c>
      <c r="C19" s="17">
        <v>2.4183964969999998</v>
      </c>
      <c r="D19">
        <v>2.4700000000000002</v>
      </c>
      <c r="F19" s="25">
        <f t="shared" si="0"/>
        <v>6.5874696958242232E-2</v>
      </c>
      <c r="G19" s="29">
        <f t="shared" si="1"/>
        <v>0.7533023946352827</v>
      </c>
      <c r="H19" s="31">
        <f t="shared" si="2"/>
        <v>5.8486416167018698</v>
      </c>
      <c r="K19" s="6" t="s">
        <v>45</v>
      </c>
      <c r="L19" s="6">
        <v>4.5777760000000004E-3</v>
      </c>
      <c r="M19" s="5"/>
      <c r="N19" s="9" t="s">
        <v>50</v>
      </c>
      <c r="O19" s="9">
        <v>0</v>
      </c>
      <c r="P19" s="5"/>
      <c r="Q19" s="5"/>
      <c r="R19" s="5"/>
      <c r="S19" s="5"/>
      <c r="T19" s="5"/>
      <c r="U19" s="5"/>
      <c r="V19" s="5"/>
    </row>
    <row r="20" spans="1:22" x14ac:dyDescent="0.3">
      <c r="A20" s="5">
        <v>1.574602496</v>
      </c>
      <c r="B20" s="11">
        <v>2.0180496630000002</v>
      </c>
      <c r="C20" s="17">
        <v>2.475902483</v>
      </c>
      <c r="D20">
        <v>2.4700000000000002</v>
      </c>
      <c r="F20" s="25">
        <f t="shared" si="0"/>
        <v>2.47937302040943</v>
      </c>
      <c r="G20" s="29">
        <f t="shared" si="1"/>
        <v>4.072524442334414</v>
      </c>
      <c r="H20" s="31">
        <f t="shared" si="2"/>
        <v>6.1300931053255656</v>
      </c>
      <c r="K20" s="6" t="s">
        <v>46</v>
      </c>
      <c r="L20" s="6">
        <v>4.9864192630000002</v>
      </c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3">
      <c r="A21" s="5">
        <v>1.5982543410000001</v>
      </c>
      <c r="B21" s="11">
        <v>2.0313248750000001</v>
      </c>
      <c r="C21" s="17">
        <v>2.4765662439999998</v>
      </c>
      <c r="D21">
        <v>2.4700000000000002</v>
      </c>
      <c r="F21" s="25">
        <f t="shared" si="0"/>
        <v>2.5544169385253443</v>
      </c>
      <c r="G21" s="29">
        <f t="shared" si="1"/>
        <v>4.126280747793766</v>
      </c>
      <c r="H21" s="31">
        <f t="shared" si="2"/>
        <v>6.1333803609202668</v>
      </c>
      <c r="K21" s="6" t="s">
        <v>47</v>
      </c>
      <c r="L21" s="6">
        <v>2474.5525986509992</v>
      </c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 ht="14.5" thickBot="1" x14ac:dyDescent="0.35">
      <c r="A22" s="5">
        <v>0.16815698700000001</v>
      </c>
      <c r="B22" s="11">
        <v>0.670087565</v>
      </c>
      <c r="C22" s="17">
        <v>2.4085043779999999</v>
      </c>
      <c r="D22">
        <v>2.4700000000000002</v>
      </c>
      <c r="F22" s="25">
        <f t="shared" si="0"/>
        <v>2.8276772276918171E-2</v>
      </c>
      <c r="G22" s="29">
        <f t="shared" si="1"/>
        <v>0.44901734476762922</v>
      </c>
      <c r="H22" s="31">
        <f t="shared" si="2"/>
        <v>5.8008933388451664</v>
      </c>
      <c r="K22" s="9" t="s">
        <v>48</v>
      </c>
      <c r="L22" s="9">
        <v>1000</v>
      </c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3">
      <c r="A23" s="5">
        <v>4.3151646469999996</v>
      </c>
      <c r="B23" s="11">
        <v>3.5940470929999999</v>
      </c>
      <c r="C23" s="17">
        <v>2.5547023549999999</v>
      </c>
      <c r="D23">
        <v>2.4700000000000002</v>
      </c>
      <c r="F23" s="25">
        <f t="shared" si="0"/>
        <v>18.620645930718631</v>
      </c>
      <c r="G23" s="29">
        <f t="shared" si="1"/>
        <v>12.91717450670175</v>
      </c>
      <c r="H23" s="31">
        <f t="shared" si="2"/>
        <v>6.5265041226425451</v>
      </c>
    </row>
    <row r="24" spans="1:22" ht="14.5" thickBot="1" x14ac:dyDescent="0.35">
      <c r="A24" s="5">
        <v>2.4687948240000002</v>
      </c>
      <c r="B24" s="11">
        <v>2.484355554</v>
      </c>
      <c r="C24" s="17">
        <v>2.4992177779999998</v>
      </c>
      <c r="D24">
        <v>2.4700000000000002</v>
      </c>
      <c r="F24" s="25">
        <f t="shared" si="0"/>
        <v>6.0949478830091914</v>
      </c>
      <c r="G24" s="29">
        <f t="shared" si="1"/>
        <v>6.172022518690647</v>
      </c>
      <c r="H24" s="31">
        <f t="shared" si="2"/>
        <v>6.2460895018712561</v>
      </c>
    </row>
    <row r="25" spans="1:22" ht="15" thickBot="1" x14ac:dyDescent="0.4">
      <c r="A25" s="5">
        <v>3.234504227</v>
      </c>
      <c r="B25" s="11">
        <v>2.876967364</v>
      </c>
      <c r="C25" s="17">
        <v>2.518848368</v>
      </c>
      <c r="D25">
        <v>2.4700000000000002</v>
      </c>
      <c r="F25" s="25">
        <f t="shared" si="0"/>
        <v>10.462017594480868</v>
      </c>
      <c r="G25" s="29">
        <f t="shared" si="1"/>
        <v>8.2769412135211091</v>
      </c>
      <c r="H25" s="31">
        <f t="shared" si="2"/>
        <v>6.3445971009762632</v>
      </c>
      <c r="K25" s="10" t="s">
        <v>28</v>
      </c>
      <c r="L25" s="10"/>
      <c r="M25" s="11"/>
      <c r="N25" s="11"/>
      <c r="O25" s="11"/>
      <c r="P25" s="11"/>
      <c r="Q25" s="11"/>
      <c r="R25" s="11"/>
      <c r="S25" s="11"/>
      <c r="T25" s="11"/>
      <c r="U25" s="11"/>
      <c r="V25" s="11"/>
    </row>
    <row r="26" spans="1:22" ht="14.5" x14ac:dyDescent="0.35">
      <c r="A26" s="5">
        <v>1.729331339</v>
      </c>
      <c r="B26" s="11">
        <v>2.1034944160000002</v>
      </c>
      <c r="C26" s="17">
        <v>2.480174721</v>
      </c>
      <c r="D26">
        <v>2.4700000000000002</v>
      </c>
      <c r="F26" s="25">
        <f t="shared" si="0"/>
        <v>2.990586880047533</v>
      </c>
      <c r="G26" s="29">
        <f t="shared" si="1"/>
        <v>4.4246887581431817</v>
      </c>
      <c r="H26" s="31">
        <f t="shared" si="2"/>
        <v>6.1512666466874277</v>
      </c>
      <c r="K26" s="12"/>
      <c r="L26" s="12"/>
      <c r="M26" s="11"/>
      <c r="N26" s="13" t="s">
        <v>49</v>
      </c>
      <c r="O26" s="13" t="s">
        <v>51</v>
      </c>
      <c r="P26" s="11"/>
      <c r="Q26" s="11"/>
      <c r="R26" s="11"/>
      <c r="S26" s="11"/>
      <c r="T26" s="11"/>
      <c r="U26" s="11"/>
      <c r="V26" s="11"/>
    </row>
    <row r="27" spans="1:22" x14ac:dyDescent="0.3">
      <c r="A27" s="5">
        <v>1.9516586810000001</v>
      </c>
      <c r="B27" s="11">
        <v>2.2215445549999999</v>
      </c>
      <c r="C27" s="17">
        <v>2.4860772280000001</v>
      </c>
      <c r="D27">
        <v>2.4700000000000002</v>
      </c>
      <c r="F27" s="25">
        <f t="shared" si="0"/>
        <v>3.8089716071226598</v>
      </c>
      <c r="G27" s="29">
        <f t="shared" si="1"/>
        <v>4.9352602098501475</v>
      </c>
      <c r="H27" s="31">
        <f t="shared" si="2"/>
        <v>6.1805799835801647</v>
      </c>
      <c r="K27" s="12" t="s">
        <v>37</v>
      </c>
      <c r="L27" s="12">
        <v>2.4771944294520014</v>
      </c>
      <c r="M27" s="11"/>
      <c r="N27" s="14">
        <v>-2</v>
      </c>
      <c r="O27" s="12">
        <v>0</v>
      </c>
      <c r="P27" s="11"/>
      <c r="Q27" s="11"/>
      <c r="R27" s="11"/>
      <c r="S27" s="11"/>
      <c r="T27" s="11"/>
      <c r="U27" s="11"/>
      <c r="V27" s="11"/>
    </row>
    <row r="28" spans="1:22" x14ac:dyDescent="0.3">
      <c r="A28" s="5">
        <v>2.4126407670000001</v>
      </c>
      <c r="B28" s="11">
        <v>2.4561907770000002</v>
      </c>
      <c r="C28" s="17">
        <v>2.4978095389999999</v>
      </c>
      <c r="D28">
        <v>2.4700000000000002</v>
      </c>
      <c r="F28" s="25">
        <f t="shared" si="0"/>
        <v>5.8208354705903487</v>
      </c>
      <c r="G28" s="29">
        <f t="shared" si="1"/>
        <v>6.0328731330198648</v>
      </c>
      <c r="H28" s="31">
        <f t="shared" si="2"/>
        <v>6.2390524931193925</v>
      </c>
      <c r="K28" s="12" t="s">
        <v>38</v>
      </c>
      <c r="L28" s="12">
        <v>3.0823705153355762E-2</v>
      </c>
      <c r="M28" s="11"/>
      <c r="N28" s="14">
        <v>-1</v>
      </c>
      <c r="O28" s="12">
        <v>0</v>
      </c>
      <c r="P28" s="11"/>
      <c r="Q28" s="11"/>
      <c r="R28" s="11"/>
      <c r="S28" s="11"/>
      <c r="T28" s="11"/>
      <c r="U28" s="11"/>
      <c r="V28" s="11"/>
    </row>
    <row r="29" spans="1:22" x14ac:dyDescent="0.3">
      <c r="A29" s="5">
        <v>0.39780877100000001</v>
      </c>
      <c r="B29" s="11">
        <v>1.091974872</v>
      </c>
      <c r="C29" s="17">
        <v>2.4295987440000002</v>
      </c>
      <c r="D29">
        <v>2.4700000000000002</v>
      </c>
      <c r="F29" s="25">
        <f t="shared" si="0"/>
        <v>0.15825181828453044</v>
      </c>
      <c r="G29" s="29">
        <f t="shared" si="1"/>
        <v>1.1924091210794163</v>
      </c>
      <c r="H29" s="31">
        <f t="shared" si="2"/>
        <v>5.9029500568463789</v>
      </c>
      <c r="K29" s="12" t="s">
        <v>39</v>
      </c>
      <c r="L29" s="12">
        <v>2.4868032319999998</v>
      </c>
      <c r="M29" s="11"/>
      <c r="N29" s="14">
        <v>0</v>
      </c>
      <c r="O29" s="12">
        <v>8</v>
      </c>
      <c r="P29" s="11"/>
      <c r="Q29" s="11"/>
      <c r="R29" s="11"/>
      <c r="S29" s="11"/>
      <c r="T29" s="11"/>
      <c r="U29" s="11"/>
      <c r="V29" s="11"/>
    </row>
    <row r="30" spans="1:22" x14ac:dyDescent="0.3">
      <c r="A30" s="5">
        <v>2.5832392350000002</v>
      </c>
      <c r="B30" s="11">
        <v>2.5417412590000001</v>
      </c>
      <c r="C30" s="17">
        <v>2.5020870629999998</v>
      </c>
      <c r="D30">
        <v>2.4700000000000002</v>
      </c>
      <c r="F30" s="25">
        <f t="shared" si="0"/>
        <v>6.6731249452433863</v>
      </c>
      <c r="G30" s="29">
        <f t="shared" si="1"/>
        <v>6.4604486277029061</v>
      </c>
      <c r="H30" s="31">
        <f t="shared" si="2"/>
        <v>6.260439670831965</v>
      </c>
      <c r="K30" s="12" t="s">
        <v>40</v>
      </c>
      <c r="L30" s="12">
        <v>2.0724317609999998</v>
      </c>
      <c r="M30" s="11"/>
      <c r="N30" s="14">
        <v>1</v>
      </c>
      <c r="O30" s="12">
        <v>63</v>
      </c>
      <c r="P30" s="11"/>
      <c r="Q30" s="11"/>
      <c r="R30" s="11"/>
      <c r="S30" s="11"/>
      <c r="T30" s="11"/>
      <c r="U30" s="11"/>
      <c r="V30" s="11"/>
    </row>
    <row r="31" spans="1:22" x14ac:dyDescent="0.3">
      <c r="A31" s="5">
        <v>2.36732078</v>
      </c>
      <c r="B31" s="11">
        <v>2.4334352199999998</v>
      </c>
      <c r="C31" s="17">
        <v>2.496671761</v>
      </c>
      <c r="D31">
        <v>2.4700000000000002</v>
      </c>
      <c r="F31" s="25">
        <f t="shared" si="0"/>
        <v>5.6042076754198087</v>
      </c>
      <c r="G31" s="29">
        <f t="shared" si="1"/>
        <v>5.9216069699364473</v>
      </c>
      <c r="H31" s="31">
        <f t="shared" si="2"/>
        <v>6.2333698821748413</v>
      </c>
      <c r="K31" s="12" t="s">
        <v>34</v>
      </c>
      <c r="L31" s="12">
        <v>0.97473114210073875</v>
      </c>
      <c r="M31" s="11"/>
      <c r="N31" s="14">
        <v>2</v>
      </c>
      <c r="O31" s="12">
        <v>232</v>
      </c>
      <c r="P31" s="11"/>
      <c r="Q31" s="11"/>
      <c r="R31" s="11"/>
      <c r="S31" s="11"/>
      <c r="T31" s="11"/>
      <c r="U31" s="11"/>
      <c r="V31" s="11"/>
    </row>
    <row r="32" spans="1:22" x14ac:dyDescent="0.3">
      <c r="A32" s="5">
        <v>2.20496231</v>
      </c>
      <c r="B32" s="11">
        <v>2.3515465899999999</v>
      </c>
      <c r="C32" s="17">
        <v>2.49257733</v>
      </c>
      <c r="D32">
        <v>2.4700000000000002</v>
      </c>
      <c r="F32" s="25">
        <f t="shared" si="0"/>
        <v>4.8618587885205358</v>
      </c>
      <c r="G32" s="29">
        <f t="shared" si="1"/>
        <v>5.5297713649406273</v>
      </c>
      <c r="H32" s="31">
        <f t="shared" si="2"/>
        <v>6.2129417460299292</v>
      </c>
      <c r="K32" s="12" t="s">
        <v>41</v>
      </c>
      <c r="L32" s="12">
        <v>0.95010079938101055</v>
      </c>
      <c r="M32" s="11"/>
      <c r="N32" s="14">
        <v>3</v>
      </c>
      <c r="O32" s="12">
        <v>405</v>
      </c>
      <c r="P32" s="11"/>
      <c r="Q32" s="11"/>
      <c r="R32" s="11"/>
      <c r="S32" s="11"/>
      <c r="T32" s="11"/>
      <c r="U32" s="11"/>
      <c r="V32" s="11"/>
    </row>
    <row r="33" spans="1:22" x14ac:dyDescent="0.3">
      <c r="A33" s="5">
        <v>2.9909665209999998</v>
      </c>
      <c r="B33" s="11">
        <v>2.7486740410000001</v>
      </c>
      <c r="C33" s="17">
        <v>2.512433702</v>
      </c>
      <c r="D33">
        <v>2.4700000000000002</v>
      </c>
      <c r="F33" s="25">
        <f t="shared" si="0"/>
        <v>8.9458807297428429</v>
      </c>
      <c r="G33" s="29">
        <f t="shared" si="1"/>
        <v>7.5552089836672707</v>
      </c>
      <c r="H33" s="31">
        <f t="shared" si="2"/>
        <v>6.3123231069454251</v>
      </c>
      <c r="K33" s="12" t="s">
        <v>42</v>
      </c>
      <c r="L33" s="12">
        <v>1.8394298400158604E-2</v>
      </c>
      <c r="M33" s="11"/>
      <c r="N33" s="14">
        <v>4</v>
      </c>
      <c r="O33" s="12">
        <v>229</v>
      </c>
      <c r="P33" s="11"/>
      <c r="Q33" s="11"/>
      <c r="R33" s="11"/>
      <c r="S33" s="11"/>
      <c r="T33" s="11"/>
      <c r="U33" s="11"/>
      <c r="V33" s="11"/>
    </row>
    <row r="34" spans="1:22" x14ac:dyDescent="0.3">
      <c r="A34" s="5">
        <v>3.6310922570000002</v>
      </c>
      <c r="B34" s="11">
        <v>3.1014147400000001</v>
      </c>
      <c r="C34" s="17">
        <v>2.530070737</v>
      </c>
      <c r="D34">
        <v>2.4700000000000002</v>
      </c>
      <c r="F34" s="25">
        <f t="shared" si="0"/>
        <v>13.184830978845355</v>
      </c>
      <c r="G34" s="29">
        <f t="shared" si="1"/>
        <v>9.6187733894892684</v>
      </c>
      <c r="H34" s="31">
        <f t="shared" si="2"/>
        <v>6.4012579342237226</v>
      </c>
      <c r="K34" s="12" t="s">
        <v>43</v>
      </c>
      <c r="L34" s="12">
        <v>-7.9678936124149086E-2</v>
      </c>
      <c r="M34" s="11"/>
      <c r="N34" s="14">
        <v>5</v>
      </c>
      <c r="O34" s="12">
        <v>60</v>
      </c>
      <c r="P34" s="11"/>
      <c r="Q34" s="11"/>
      <c r="R34" s="11"/>
      <c r="S34" s="11"/>
      <c r="T34" s="11"/>
      <c r="U34" s="11"/>
      <c r="V34" s="11"/>
    </row>
    <row r="35" spans="1:22" x14ac:dyDescent="0.3">
      <c r="A35" s="5">
        <v>3.533890805</v>
      </c>
      <c r="B35" s="11">
        <v>3.0439960660000001</v>
      </c>
      <c r="C35" s="17">
        <v>2.5271998029999998</v>
      </c>
      <c r="D35">
        <v>2.4700000000000002</v>
      </c>
      <c r="F35" s="25">
        <f t="shared" si="0"/>
        <v>12.488384221663548</v>
      </c>
      <c r="G35" s="29">
        <f t="shared" si="1"/>
        <v>9.265912049823477</v>
      </c>
      <c r="H35" s="31">
        <f t="shared" si="2"/>
        <v>6.3867388442832382</v>
      </c>
      <c r="K35" s="12" t="s">
        <v>44</v>
      </c>
      <c r="L35" s="12">
        <v>5.8966543289999995</v>
      </c>
      <c r="M35" s="11"/>
      <c r="N35" s="14">
        <v>6</v>
      </c>
      <c r="O35" s="12">
        <v>3</v>
      </c>
      <c r="P35" s="11"/>
      <c r="Q35" s="11"/>
      <c r="R35" s="11"/>
      <c r="S35" s="11"/>
      <c r="T35" s="11"/>
      <c r="U35" s="11"/>
      <c r="V35" s="11"/>
    </row>
    <row r="36" spans="1:22" ht="14.5" thickBot="1" x14ac:dyDescent="0.35">
      <c r="A36" s="5">
        <v>3.4014404740000002</v>
      </c>
      <c r="B36" s="11">
        <v>2.9685045950000002</v>
      </c>
      <c r="C36" s="17">
        <v>2.52342523</v>
      </c>
      <c r="D36">
        <v>2.4700000000000002</v>
      </c>
      <c r="F36" s="25">
        <f t="shared" si="0"/>
        <v>11.569797298165346</v>
      </c>
      <c r="G36" s="29">
        <f t="shared" si="1"/>
        <v>8.8120195305361158</v>
      </c>
      <c r="H36" s="31">
        <f t="shared" si="2"/>
        <v>6.3676748914005525</v>
      </c>
      <c r="K36" s="12" t="s">
        <v>45</v>
      </c>
      <c r="L36" s="12">
        <v>-0.61643816500000004</v>
      </c>
      <c r="M36" s="11"/>
      <c r="N36" s="15" t="s">
        <v>50</v>
      </c>
      <c r="O36" s="15">
        <v>0</v>
      </c>
      <c r="P36" s="11"/>
      <c r="Q36" s="11"/>
      <c r="R36" s="11"/>
      <c r="S36" s="11"/>
      <c r="T36" s="11"/>
      <c r="U36" s="11"/>
      <c r="V36" s="11"/>
    </row>
    <row r="37" spans="1:22" x14ac:dyDescent="0.3">
      <c r="A37" s="5">
        <v>2.4321726130000001</v>
      </c>
      <c r="B37" s="11">
        <v>2.465989446</v>
      </c>
      <c r="C37" s="17">
        <v>2.4982994719999998</v>
      </c>
      <c r="D37">
        <v>2.4700000000000002</v>
      </c>
      <c r="F37" s="25">
        <f t="shared" si="0"/>
        <v>5.9154636194272481</v>
      </c>
      <c r="G37" s="29">
        <f t="shared" si="1"/>
        <v>6.0811039477833875</v>
      </c>
      <c r="H37" s="31">
        <f t="shared" si="2"/>
        <v>6.2415002517954781</v>
      </c>
      <c r="K37" s="12" t="s">
        <v>46</v>
      </c>
      <c r="L37" s="12">
        <v>5.2802161639999996</v>
      </c>
      <c r="M37" s="11"/>
      <c r="N37" s="11"/>
      <c r="O37" s="11"/>
      <c r="P37" s="11"/>
      <c r="Q37" s="11"/>
      <c r="R37" s="11"/>
      <c r="S37" s="11"/>
      <c r="T37" s="11"/>
      <c r="U37" s="11"/>
      <c r="V37" s="11"/>
    </row>
    <row r="38" spans="1:22" x14ac:dyDescent="0.3">
      <c r="A38" s="5">
        <v>4.8576311529999998</v>
      </c>
      <c r="B38" s="11">
        <v>4.4037088349999998</v>
      </c>
      <c r="C38" s="17">
        <v>2.595185442</v>
      </c>
      <c r="D38">
        <v>2.4700000000000002</v>
      </c>
      <c r="F38" s="25">
        <f t="shared" si="0"/>
        <v>23.596580418596108</v>
      </c>
      <c r="G38" s="29">
        <f t="shared" si="1"/>
        <v>19.392651503457056</v>
      </c>
      <c r="H38" s="31">
        <f t="shared" si="2"/>
        <v>6.7349874783687351</v>
      </c>
      <c r="K38" s="12" t="s">
        <v>47</v>
      </c>
      <c r="L38" s="12">
        <v>2477.1944294520013</v>
      </c>
      <c r="M38" s="11"/>
      <c r="N38" s="11"/>
      <c r="O38" s="11"/>
      <c r="P38" s="11"/>
      <c r="Q38" s="11"/>
      <c r="R38" s="11"/>
      <c r="S38" s="11"/>
      <c r="T38" s="11"/>
      <c r="U38" s="11"/>
      <c r="V38" s="11"/>
    </row>
    <row r="39" spans="1:22" ht="14.5" thickBot="1" x14ac:dyDescent="0.35">
      <c r="A39" s="5">
        <v>0.275582141</v>
      </c>
      <c r="B39" s="11">
        <v>0.90285454399999998</v>
      </c>
      <c r="C39" s="17">
        <v>2.420142727</v>
      </c>
      <c r="D39">
        <v>2.4700000000000002</v>
      </c>
      <c r="F39" s="25">
        <f t="shared" si="0"/>
        <v>7.5945516438143887E-2</v>
      </c>
      <c r="G39" s="29">
        <f t="shared" si="1"/>
        <v>0.8151463276214479</v>
      </c>
      <c r="H39" s="31">
        <f t="shared" si="2"/>
        <v>5.8570908190509963</v>
      </c>
      <c r="K39" s="15" t="s">
        <v>48</v>
      </c>
      <c r="L39" s="15">
        <v>1000</v>
      </c>
      <c r="M39" s="11"/>
      <c r="N39" s="11"/>
      <c r="O39" s="11"/>
      <c r="P39" s="11"/>
      <c r="Q39" s="11"/>
      <c r="R39" s="11"/>
      <c r="S39" s="11"/>
      <c r="T39" s="11"/>
      <c r="U39" s="11"/>
      <c r="V39" s="11"/>
    </row>
    <row r="40" spans="1:22" x14ac:dyDescent="0.3">
      <c r="A40" s="5">
        <v>4.695577868</v>
      </c>
      <c r="B40" s="11">
        <v>4.0473915480000002</v>
      </c>
      <c r="C40" s="17">
        <v>2.5773695769999998</v>
      </c>
      <c r="D40">
        <v>2.4700000000000002</v>
      </c>
      <c r="F40" s="25">
        <f t="shared" si="0"/>
        <v>22.048451514451425</v>
      </c>
      <c r="G40" s="29">
        <f t="shared" si="1"/>
        <v>16.381378342821836</v>
      </c>
      <c r="H40" s="31">
        <f t="shared" si="2"/>
        <v>6.6428339364451583</v>
      </c>
    </row>
    <row r="41" spans="1:22" ht="14.5" thickBot="1" x14ac:dyDescent="0.35">
      <c r="A41" s="5">
        <v>0.641956847</v>
      </c>
      <c r="B41" s="11">
        <v>1.36597152</v>
      </c>
      <c r="C41" s="17">
        <v>2.4432985760000001</v>
      </c>
      <c r="D41">
        <v>2.4700000000000002</v>
      </c>
      <c r="F41" s="25">
        <f t="shared" si="0"/>
        <v>0.41210859341018141</v>
      </c>
      <c r="G41" s="29">
        <f t="shared" si="1"/>
        <v>1.8658781934511104</v>
      </c>
      <c r="H41" s="31">
        <f t="shared" si="2"/>
        <v>5.9697079314836285</v>
      </c>
    </row>
    <row r="42" spans="1:22" ht="15" thickBot="1" x14ac:dyDescent="0.4">
      <c r="A42" s="5">
        <v>4.0002136300000002</v>
      </c>
      <c r="B42" s="11">
        <v>3.341773726</v>
      </c>
      <c r="C42" s="17">
        <v>2.542088686</v>
      </c>
      <c r="D42">
        <v>2.4700000000000002</v>
      </c>
      <c r="F42" s="25">
        <f t="shared" si="0"/>
        <v>16.001709085637778</v>
      </c>
      <c r="G42" s="29">
        <f t="shared" si="1"/>
        <v>11.167451635783923</v>
      </c>
      <c r="H42" s="31">
        <f t="shared" si="2"/>
        <v>6.4622148874892069</v>
      </c>
      <c r="K42" s="16" t="s">
        <v>29</v>
      </c>
      <c r="L42" s="16"/>
      <c r="M42" s="17"/>
      <c r="N42" s="17"/>
      <c r="O42" s="17"/>
      <c r="P42" s="17"/>
      <c r="Q42" s="17"/>
      <c r="R42" s="17"/>
      <c r="S42" s="17"/>
      <c r="T42" s="17"/>
      <c r="U42" s="17"/>
      <c r="V42" s="17"/>
    </row>
    <row r="43" spans="1:22" ht="14.5" x14ac:dyDescent="0.35">
      <c r="A43" s="5">
        <v>1.3844721820000001</v>
      </c>
      <c r="B43" s="11">
        <v>1.90790758</v>
      </c>
      <c r="C43" s="17">
        <v>2.4703953790000002</v>
      </c>
      <c r="D43">
        <v>2.4700000000000002</v>
      </c>
      <c r="F43" s="25">
        <f t="shared" si="0"/>
        <v>1.9167632227318414</v>
      </c>
      <c r="G43" s="29">
        <f t="shared" si="1"/>
        <v>3.6401113338214568</v>
      </c>
      <c r="H43" s="31">
        <f t="shared" si="2"/>
        <v>6.1028533285845548</v>
      </c>
      <c r="K43" s="18"/>
      <c r="L43" s="18"/>
      <c r="M43" s="17"/>
      <c r="N43" s="19" t="s">
        <v>49</v>
      </c>
      <c r="O43" s="19" t="s">
        <v>51</v>
      </c>
      <c r="P43" s="17"/>
      <c r="Q43" s="17"/>
      <c r="R43" s="17"/>
      <c r="S43" s="17"/>
      <c r="T43" s="17"/>
      <c r="U43" s="17"/>
      <c r="V43" s="17"/>
    </row>
    <row r="44" spans="1:22" x14ac:dyDescent="0.3">
      <c r="A44" s="5">
        <v>1.198461867</v>
      </c>
      <c r="B44" s="11">
        <v>1.7927087079999999</v>
      </c>
      <c r="C44" s="17">
        <v>2.4646354349999999</v>
      </c>
      <c r="D44">
        <v>2.4700000000000002</v>
      </c>
      <c r="F44" s="25">
        <f t="shared" si="0"/>
        <v>1.4363108466531258</v>
      </c>
      <c r="G44" s="29">
        <f t="shared" si="1"/>
        <v>3.213804511739029</v>
      </c>
      <c r="H44" s="31">
        <f t="shared" si="2"/>
        <v>6.0744278274576393</v>
      </c>
      <c r="K44" s="18" t="s">
        <v>37</v>
      </c>
      <c r="L44" s="18">
        <v>2.498859721464</v>
      </c>
      <c r="M44" s="17"/>
      <c r="N44" s="20">
        <v>-2</v>
      </c>
      <c r="O44" s="18">
        <v>0</v>
      </c>
      <c r="P44" s="17"/>
      <c r="Q44" s="17"/>
      <c r="R44" s="17"/>
      <c r="S44" s="17"/>
      <c r="T44" s="17"/>
      <c r="U44" s="17"/>
      <c r="V44" s="17"/>
    </row>
    <row r="45" spans="1:22" x14ac:dyDescent="0.3">
      <c r="A45" s="5">
        <v>0.32624286600000002</v>
      </c>
      <c r="B45" s="11">
        <v>0.98785591900000003</v>
      </c>
      <c r="C45" s="17">
        <v>2.4243927959999998</v>
      </c>
      <c r="D45">
        <v>2.4700000000000002</v>
      </c>
      <c r="F45" s="25">
        <f t="shared" si="0"/>
        <v>0.10643440761589397</v>
      </c>
      <c r="G45" s="29">
        <f t="shared" si="1"/>
        <v>0.97585931670333459</v>
      </c>
      <c r="H45" s="31">
        <f t="shared" si="2"/>
        <v>5.8776804292966967</v>
      </c>
      <c r="K45" s="18" t="s">
        <v>38</v>
      </c>
      <c r="L45" s="18">
        <v>1.5411852578598884E-3</v>
      </c>
      <c r="M45" s="17"/>
      <c r="N45" s="20">
        <v>-1</v>
      </c>
      <c r="O45" s="18">
        <v>0</v>
      </c>
      <c r="P45" s="17"/>
      <c r="Q45" s="17"/>
      <c r="R45" s="17"/>
      <c r="S45" s="17"/>
      <c r="T45" s="17"/>
      <c r="U45" s="17"/>
      <c r="V45" s="17"/>
    </row>
    <row r="46" spans="1:22" x14ac:dyDescent="0.3">
      <c r="A46" s="5">
        <v>1.322977386</v>
      </c>
      <c r="B46" s="11">
        <v>1.8707592689999999</v>
      </c>
      <c r="C46" s="17">
        <v>2.4685379630000002</v>
      </c>
      <c r="D46">
        <v>2.4700000000000002</v>
      </c>
      <c r="F46" s="25">
        <f t="shared" si="0"/>
        <v>1.7502691638673931</v>
      </c>
      <c r="G46" s="29">
        <f t="shared" si="1"/>
        <v>3.499740242549414</v>
      </c>
      <c r="H46" s="31">
        <f t="shared" si="2"/>
        <v>6.09367967477219</v>
      </c>
      <c r="K46" s="18" t="s">
        <v>39</v>
      </c>
      <c r="L46" s="18">
        <v>2.4993401615000002</v>
      </c>
      <c r="M46" s="17"/>
      <c r="N46" s="20">
        <v>0</v>
      </c>
      <c r="O46" s="18">
        <v>0</v>
      </c>
      <c r="P46" s="17"/>
      <c r="Q46" s="17"/>
      <c r="R46" s="17"/>
      <c r="S46" s="17"/>
      <c r="T46" s="17"/>
      <c r="U46" s="17"/>
      <c r="V46" s="17"/>
    </row>
    <row r="47" spans="1:22" x14ac:dyDescent="0.3">
      <c r="A47" s="5">
        <v>3.4241767630000002</v>
      </c>
      <c r="B47" s="11">
        <v>2.9812636690000001</v>
      </c>
      <c r="C47" s="17">
        <v>2.524063183</v>
      </c>
      <c r="D47">
        <v>2.4700000000000002</v>
      </c>
      <c r="F47" s="25">
        <f t="shared" si="0"/>
        <v>11.724986504269159</v>
      </c>
      <c r="G47" s="29">
        <f t="shared" si="1"/>
        <v>8.8879330640993413</v>
      </c>
      <c r="H47" s="31">
        <f t="shared" si="2"/>
        <v>6.3708949517760916</v>
      </c>
      <c r="K47" s="18" t="s">
        <v>40</v>
      </c>
      <c r="L47" s="18">
        <v>2.4786215880000002</v>
      </c>
      <c r="M47" s="17"/>
      <c r="N47" s="20">
        <v>1</v>
      </c>
      <c r="O47" s="18">
        <v>0</v>
      </c>
      <c r="P47" s="17"/>
      <c r="Q47" s="17"/>
      <c r="R47" s="17"/>
      <c r="S47" s="17"/>
      <c r="T47" s="17"/>
      <c r="U47" s="17"/>
      <c r="V47" s="17"/>
    </row>
    <row r="48" spans="1:22" x14ac:dyDescent="0.3">
      <c r="A48" s="5">
        <v>3.651539659</v>
      </c>
      <c r="B48" s="11">
        <v>3.1137452149999998</v>
      </c>
      <c r="C48" s="17">
        <v>2.5306872610000002</v>
      </c>
      <c r="D48">
        <v>2.4700000000000002</v>
      </c>
      <c r="F48" s="25">
        <f t="shared" si="0"/>
        <v>13.333741881249836</v>
      </c>
      <c r="G48" s="29">
        <f t="shared" si="1"/>
        <v>9.6954092639353942</v>
      </c>
      <c r="H48" s="31">
        <f t="shared" si="2"/>
        <v>6.4043780129876833</v>
      </c>
      <c r="K48" s="18" t="s">
        <v>34</v>
      </c>
      <c r="L48" s="18">
        <v>4.8736557111111682E-2</v>
      </c>
      <c r="M48" s="17"/>
      <c r="N48" s="20">
        <v>2</v>
      </c>
      <c r="O48" s="18">
        <v>0</v>
      </c>
      <c r="P48" s="17"/>
      <c r="Q48" s="17"/>
      <c r="R48" s="17"/>
      <c r="S48" s="17"/>
      <c r="T48" s="17"/>
      <c r="U48" s="17"/>
      <c r="V48" s="17"/>
    </row>
    <row r="49" spans="1:22" x14ac:dyDescent="0.3">
      <c r="A49" s="5">
        <v>0.46494949200000002</v>
      </c>
      <c r="B49" s="11">
        <v>1.177435542</v>
      </c>
      <c r="C49" s="17">
        <v>2.4338717769999998</v>
      </c>
      <c r="D49">
        <v>2.4700000000000002</v>
      </c>
      <c r="F49" s="25">
        <f t="shared" si="0"/>
        <v>0.21617803011105807</v>
      </c>
      <c r="G49" s="29">
        <f t="shared" si="1"/>
        <v>1.3863544555648337</v>
      </c>
      <c r="H49" s="31">
        <f t="shared" si="2"/>
        <v>5.9237318268771366</v>
      </c>
      <c r="K49" s="18" t="s">
        <v>41</v>
      </c>
      <c r="L49" s="18">
        <v>2.3752519990446505E-3</v>
      </c>
      <c r="M49" s="17"/>
      <c r="N49" s="20">
        <v>3</v>
      </c>
      <c r="O49" s="18">
        <v>1000</v>
      </c>
      <c r="P49" s="17"/>
      <c r="Q49" s="17"/>
      <c r="R49" s="17"/>
      <c r="S49" s="17"/>
      <c r="T49" s="17"/>
      <c r="U49" s="17"/>
      <c r="V49" s="17"/>
    </row>
    <row r="50" spans="1:22" x14ac:dyDescent="0.3">
      <c r="A50" s="5">
        <v>3.7751396220000002</v>
      </c>
      <c r="B50" s="11">
        <v>3.1903974279999998</v>
      </c>
      <c r="C50" s="17">
        <v>2.5345198710000001</v>
      </c>
      <c r="D50">
        <v>2.4700000000000002</v>
      </c>
      <c r="F50" s="25">
        <f t="shared" si="0"/>
        <v>14.251679165594304</v>
      </c>
      <c r="G50" s="29">
        <f t="shared" si="1"/>
        <v>10.178635748589015</v>
      </c>
      <c r="H50" s="31">
        <f t="shared" si="2"/>
        <v>6.4237909764938568</v>
      </c>
      <c r="K50" s="18" t="s">
        <v>42</v>
      </c>
      <c r="L50" s="18">
        <v>1.839429649284563E-2</v>
      </c>
      <c r="M50" s="17"/>
      <c r="N50" s="20">
        <v>4</v>
      </c>
      <c r="O50" s="18">
        <v>0</v>
      </c>
      <c r="P50" s="17"/>
      <c r="Q50" s="17"/>
      <c r="R50" s="17"/>
      <c r="S50" s="17"/>
      <c r="T50" s="17"/>
      <c r="U50" s="17"/>
      <c r="V50" s="17"/>
    </row>
    <row r="51" spans="1:22" x14ac:dyDescent="0.3">
      <c r="A51" s="5">
        <v>1.3797418130000001</v>
      </c>
      <c r="B51" s="11">
        <v>1.9050790520000001</v>
      </c>
      <c r="C51" s="17">
        <v>2.4702539529999998</v>
      </c>
      <c r="D51">
        <v>2.4700000000000002</v>
      </c>
      <c r="F51" s="25">
        <f t="shared" si="0"/>
        <v>1.9036874705405273</v>
      </c>
      <c r="G51" s="29">
        <f t="shared" si="1"/>
        <v>3.6293261943692188</v>
      </c>
      <c r="H51" s="31">
        <f t="shared" si="2"/>
        <v>6.1021545923121252</v>
      </c>
      <c r="K51" s="18" t="s">
        <v>43</v>
      </c>
      <c r="L51" s="18">
        <v>-7.9678934934449344E-2</v>
      </c>
      <c r="M51" s="17"/>
      <c r="N51" s="20">
        <v>5</v>
      </c>
      <c r="O51" s="18">
        <v>0</v>
      </c>
      <c r="P51" s="17"/>
      <c r="Q51" s="17"/>
      <c r="R51" s="17"/>
      <c r="S51" s="17"/>
      <c r="T51" s="17"/>
      <c r="U51" s="17"/>
      <c r="V51" s="17"/>
    </row>
    <row r="52" spans="1:22" x14ac:dyDescent="0.3">
      <c r="A52" s="5">
        <v>2.100589007</v>
      </c>
      <c r="B52" s="11">
        <v>2.2984082259999998</v>
      </c>
      <c r="C52" s="17">
        <v>2.4899204109999999</v>
      </c>
      <c r="D52">
        <v>2.4700000000000002</v>
      </c>
      <c r="F52" s="25">
        <f t="shared" si="0"/>
        <v>4.4124741763292459</v>
      </c>
      <c r="G52" s="29">
        <f t="shared" si="1"/>
        <v>5.2826803733444665</v>
      </c>
      <c r="H52" s="31">
        <f t="shared" si="2"/>
        <v>6.1997036531144083</v>
      </c>
      <c r="K52" s="18" t="s">
        <v>44</v>
      </c>
      <c r="L52" s="18">
        <v>0.29483271600000016</v>
      </c>
      <c r="M52" s="17"/>
      <c r="N52" s="20">
        <v>6</v>
      </c>
      <c r="O52" s="18">
        <v>0</v>
      </c>
      <c r="P52" s="17"/>
      <c r="Q52" s="17"/>
      <c r="R52" s="17"/>
      <c r="S52" s="17"/>
      <c r="T52" s="17"/>
      <c r="U52" s="17"/>
      <c r="V52" s="17"/>
    </row>
    <row r="53" spans="1:22" ht="14.5" thickBot="1" x14ac:dyDescent="0.35">
      <c r="A53" s="5">
        <v>3.4127323220000001</v>
      </c>
      <c r="B53" s="11">
        <v>2.974831268</v>
      </c>
      <c r="C53" s="17">
        <v>2.5237415630000002</v>
      </c>
      <c r="D53">
        <v>2.4700000000000002</v>
      </c>
      <c r="F53" s="25">
        <f t="shared" si="0"/>
        <v>11.646741901623512</v>
      </c>
      <c r="G53" s="29">
        <f t="shared" si="1"/>
        <v>8.8496210730704874</v>
      </c>
      <c r="H53" s="31">
        <f t="shared" si="2"/>
        <v>6.369271476813684</v>
      </c>
      <c r="K53" s="18" t="s">
        <v>45</v>
      </c>
      <c r="L53" s="18">
        <v>2.3441780919999999</v>
      </c>
      <c r="M53" s="17"/>
      <c r="N53" s="21" t="s">
        <v>50</v>
      </c>
      <c r="O53" s="21">
        <v>0</v>
      </c>
      <c r="P53" s="17"/>
      <c r="Q53" s="17"/>
      <c r="R53" s="17"/>
      <c r="S53" s="17"/>
      <c r="T53" s="17"/>
      <c r="U53" s="17"/>
      <c r="V53" s="17"/>
    </row>
    <row r="54" spans="1:22" x14ac:dyDescent="0.3">
      <c r="A54" s="5">
        <v>4.3147068700000002</v>
      </c>
      <c r="B54" s="11">
        <v>3.5936309990000002</v>
      </c>
      <c r="C54" s="17">
        <v>2.5546815500000002</v>
      </c>
      <c r="D54">
        <v>2.4700000000000002</v>
      </c>
      <c r="F54" s="25">
        <f t="shared" si="0"/>
        <v>18.616695374025198</v>
      </c>
      <c r="G54" s="29">
        <f t="shared" si="1"/>
        <v>12.914183756973738</v>
      </c>
      <c r="H54" s="31">
        <f t="shared" si="2"/>
        <v>6.5263978219104031</v>
      </c>
      <c r="K54" s="18" t="s">
        <v>46</v>
      </c>
      <c r="L54" s="18">
        <v>2.6390108080000001</v>
      </c>
      <c r="M54" s="17"/>
      <c r="N54" s="17"/>
      <c r="O54" s="17"/>
      <c r="P54" s="17"/>
      <c r="Q54" s="17"/>
      <c r="R54" s="17"/>
      <c r="S54" s="17"/>
      <c r="T54" s="17"/>
      <c r="U54" s="17"/>
      <c r="V54" s="17"/>
    </row>
    <row r="55" spans="1:22" x14ac:dyDescent="0.3">
      <c r="A55" s="5">
        <v>3.8109988709999998</v>
      </c>
      <c r="B55" s="11">
        <v>3.213396275</v>
      </c>
      <c r="C55" s="17">
        <v>2.5356698139999998</v>
      </c>
      <c r="D55">
        <v>2.4700000000000002</v>
      </c>
      <c r="F55" s="25">
        <f t="shared" si="0"/>
        <v>14.523712394763272</v>
      </c>
      <c r="G55" s="29">
        <f t="shared" si="1"/>
        <v>10.325915620183876</v>
      </c>
      <c r="H55" s="31">
        <f t="shared" si="2"/>
        <v>6.4296214056307939</v>
      </c>
      <c r="K55" s="18" t="s">
        <v>47</v>
      </c>
      <c r="L55" s="18">
        <v>2498.8597214639999</v>
      </c>
      <c r="M55" s="17"/>
      <c r="N55" s="17"/>
      <c r="O55" s="17"/>
      <c r="P55" s="17"/>
      <c r="Q55" s="17"/>
      <c r="R55" s="17"/>
      <c r="S55" s="17"/>
      <c r="T55" s="17"/>
      <c r="U55" s="17"/>
      <c r="V55" s="17"/>
    </row>
    <row r="56" spans="1:22" ht="14.5" thickBot="1" x14ac:dyDescent="0.35">
      <c r="A56" s="5">
        <v>1.065706351</v>
      </c>
      <c r="B56" s="11">
        <v>1.7044308779999999</v>
      </c>
      <c r="C56" s="17">
        <v>2.4602215439999999</v>
      </c>
      <c r="D56">
        <v>2.4700000000000002</v>
      </c>
      <c r="F56" s="25">
        <f t="shared" si="0"/>
        <v>1.1357300265617352</v>
      </c>
      <c r="G56" s="29">
        <f t="shared" si="1"/>
        <v>2.9050846178798508</v>
      </c>
      <c r="H56" s="31">
        <f t="shared" si="2"/>
        <v>6.0526900455617438</v>
      </c>
      <c r="K56" s="21" t="s">
        <v>48</v>
      </c>
      <c r="L56" s="21">
        <v>1000</v>
      </c>
      <c r="M56" s="17"/>
      <c r="N56" s="17"/>
      <c r="O56" s="17"/>
      <c r="P56" s="17"/>
      <c r="Q56" s="17"/>
      <c r="R56" s="17"/>
      <c r="S56" s="17"/>
      <c r="T56" s="17"/>
      <c r="U56" s="17"/>
      <c r="V56" s="17"/>
    </row>
    <row r="57" spans="1:22" x14ac:dyDescent="0.3">
      <c r="A57" s="5">
        <v>2.5160985139999998</v>
      </c>
      <c r="B57" s="11">
        <v>2.5080706290000001</v>
      </c>
      <c r="C57" s="17">
        <v>2.5004035309999999</v>
      </c>
      <c r="D57">
        <v>2.4700000000000002</v>
      </c>
      <c r="F57" s="25">
        <f t="shared" si="0"/>
        <v>6.3307517321530078</v>
      </c>
      <c r="G57" s="29">
        <f t="shared" si="1"/>
        <v>6.2904182800524557</v>
      </c>
      <c r="H57" s="31">
        <f t="shared" si="2"/>
        <v>6.2520178178372676</v>
      </c>
    </row>
    <row r="58" spans="1:22" x14ac:dyDescent="0.3">
      <c r="A58" s="5">
        <v>4.6807763910000002</v>
      </c>
      <c r="B58" s="11">
        <v>4.0232762959999997</v>
      </c>
      <c r="C58" s="17">
        <v>2.5761638150000001</v>
      </c>
      <c r="D58">
        <v>2.4700000000000002</v>
      </c>
      <c r="F58" s="25">
        <f t="shared" si="0"/>
        <v>21.909667622542987</v>
      </c>
      <c r="G58" s="29">
        <f t="shared" si="1"/>
        <v>16.186752153955478</v>
      </c>
      <c r="H58" s="31">
        <f t="shared" si="2"/>
        <v>6.6366200017153547</v>
      </c>
    </row>
    <row r="59" spans="1:22" x14ac:dyDescent="0.3">
      <c r="A59" s="5">
        <v>2.6609088409999999</v>
      </c>
      <c r="B59" s="11">
        <v>2.5807551709999998</v>
      </c>
      <c r="C59" s="17">
        <v>2.504037759</v>
      </c>
      <c r="D59">
        <v>2.4700000000000002</v>
      </c>
      <c r="F59" s="25">
        <f t="shared" si="0"/>
        <v>7.0804358601119626</v>
      </c>
      <c r="G59" s="29">
        <f t="shared" si="1"/>
        <v>6.6602972526432387</v>
      </c>
      <c r="H59" s="31">
        <f t="shared" si="2"/>
        <v>6.2702050984977422</v>
      </c>
    </row>
    <row r="60" spans="1:22" x14ac:dyDescent="0.3">
      <c r="A60" s="5">
        <v>0.73534348599999999</v>
      </c>
      <c r="B60" s="11">
        <v>1.450911504</v>
      </c>
      <c r="C60" s="17">
        <v>2.4475455749999999</v>
      </c>
      <c r="D60">
        <v>2.4700000000000002</v>
      </c>
      <c r="F60" s="25">
        <f t="shared" si="0"/>
        <v>0.54073004240263223</v>
      </c>
      <c r="G60" s="29">
        <f t="shared" si="1"/>
        <v>2.1051441924395422</v>
      </c>
      <c r="H60" s="31">
        <f t="shared" si="2"/>
        <v>5.9904793417020805</v>
      </c>
    </row>
    <row r="61" spans="1:22" x14ac:dyDescent="0.3">
      <c r="A61" s="5">
        <v>1.6563921020000001</v>
      </c>
      <c r="B61" s="11">
        <v>2.0636142099999999</v>
      </c>
      <c r="C61" s="17">
        <v>2.4781807109999998</v>
      </c>
      <c r="D61">
        <v>2.4700000000000002</v>
      </c>
      <c r="F61" s="25">
        <f t="shared" si="0"/>
        <v>2.7436347955679787</v>
      </c>
      <c r="G61" s="29">
        <f t="shared" si="1"/>
        <v>4.2585036077139238</v>
      </c>
      <c r="H61" s="31">
        <f t="shared" si="2"/>
        <v>6.1413796363724646</v>
      </c>
    </row>
    <row r="62" spans="1:22" x14ac:dyDescent="0.3">
      <c r="A62" s="5">
        <v>2.393719291</v>
      </c>
      <c r="B62" s="11">
        <v>2.4466933790000001</v>
      </c>
      <c r="C62" s="17">
        <v>2.4973346689999998</v>
      </c>
      <c r="D62">
        <v>2.4700000000000002</v>
      </c>
      <c r="F62" s="25">
        <f t="shared" si="0"/>
        <v>5.7298920441055428</v>
      </c>
      <c r="G62" s="29">
        <f t="shared" si="1"/>
        <v>5.986308490842438</v>
      </c>
      <c r="H62" s="31">
        <f t="shared" si="2"/>
        <v>6.2366804489893388</v>
      </c>
    </row>
    <row r="63" spans="1:22" x14ac:dyDescent="0.3">
      <c r="A63" s="5">
        <v>0.38132877599999998</v>
      </c>
      <c r="B63" s="11">
        <v>1.0693511920000001</v>
      </c>
      <c r="C63" s="17">
        <v>2.4284675600000001</v>
      </c>
      <c r="D63">
        <v>2.4700000000000002</v>
      </c>
      <c r="F63" s="25">
        <f t="shared" si="0"/>
        <v>0.14541163540565816</v>
      </c>
      <c r="G63" s="29">
        <f t="shared" si="1"/>
        <v>1.143511971831821</v>
      </c>
      <c r="H63" s="31">
        <f t="shared" si="2"/>
        <v>5.8974546899723537</v>
      </c>
    </row>
    <row r="64" spans="1:22" x14ac:dyDescent="0.3">
      <c r="A64" s="5">
        <v>1.2170781580000001</v>
      </c>
      <c r="B64" s="11">
        <v>1.8046435519999999</v>
      </c>
      <c r="C64" s="17">
        <v>2.4652321779999999</v>
      </c>
      <c r="D64">
        <v>2.4700000000000002</v>
      </c>
      <c r="F64" s="25">
        <f t="shared" si="0"/>
        <v>1.4812792426806731</v>
      </c>
      <c r="G64" s="29">
        <f t="shared" si="1"/>
        <v>3.2567383497751763</v>
      </c>
      <c r="H64" s="31">
        <f t="shared" si="2"/>
        <v>6.0773696914466235</v>
      </c>
    </row>
    <row r="65" spans="1:8" x14ac:dyDescent="0.3">
      <c r="A65" s="5">
        <v>0.61967833500000002</v>
      </c>
      <c r="B65" s="11">
        <v>1.3444642440000001</v>
      </c>
      <c r="C65" s="17">
        <v>2.442223212</v>
      </c>
      <c r="D65">
        <v>2.4700000000000002</v>
      </c>
      <c r="F65" s="25">
        <f t="shared" si="0"/>
        <v>0.38400123886837223</v>
      </c>
      <c r="G65" s="29">
        <f t="shared" si="1"/>
        <v>1.8075841033944917</v>
      </c>
      <c r="H65" s="31">
        <f t="shared" si="2"/>
        <v>5.9644542172315971</v>
      </c>
    </row>
    <row r="66" spans="1:8" x14ac:dyDescent="0.3">
      <c r="A66" s="5">
        <v>0.26429029199999998</v>
      </c>
      <c r="B66" s="11">
        <v>0.88224994199999995</v>
      </c>
      <c r="C66" s="17">
        <v>2.419112497</v>
      </c>
      <c r="D66">
        <v>2.4700000000000002</v>
      </c>
      <c r="F66" s="25">
        <f t="shared" si="0"/>
        <v>6.984935844544525E-2</v>
      </c>
      <c r="G66" s="29">
        <f t="shared" si="1"/>
        <v>0.77836496015900325</v>
      </c>
      <c r="H66" s="31">
        <f t="shared" si="2"/>
        <v>5.852105273141575</v>
      </c>
    </row>
    <row r="67" spans="1:8" x14ac:dyDescent="0.3">
      <c r="A67" s="5">
        <v>4.528336436</v>
      </c>
      <c r="B67" s="11">
        <v>3.8145381669999998</v>
      </c>
      <c r="C67" s="17">
        <v>2.5657269079999998</v>
      </c>
      <c r="D67">
        <v>2.4700000000000002</v>
      </c>
      <c r="F67" s="25">
        <f t="shared" ref="F67:F130" si="3">POWER(A67,2)</f>
        <v>20.505830877605181</v>
      </c>
      <c r="G67" s="29">
        <f t="shared" ref="G67:G130" si="4">POWER(B67,2)</f>
        <v>14.550701427499719</v>
      </c>
      <c r="H67" s="31">
        <f t="shared" ref="H67:H130" si="5">POWER(C67,2)</f>
        <v>6.5829545664352391</v>
      </c>
    </row>
    <row r="68" spans="1:8" x14ac:dyDescent="0.3">
      <c r="A68" s="5">
        <v>4.3772698139999999</v>
      </c>
      <c r="B68" s="11">
        <v>3.6525571609999998</v>
      </c>
      <c r="C68" s="17">
        <v>2.557627858</v>
      </c>
      <c r="D68">
        <v>2.4700000000000002</v>
      </c>
      <c r="F68" s="25">
        <f t="shared" si="3"/>
        <v>19.160491024555593</v>
      </c>
      <c r="G68" s="29">
        <f t="shared" si="4"/>
        <v>13.341173814372379</v>
      </c>
      <c r="H68" s="31">
        <f t="shared" si="5"/>
        <v>6.5414602600176686</v>
      </c>
    </row>
    <row r="69" spans="1:8" x14ac:dyDescent="0.3">
      <c r="A69" s="5">
        <v>2.70638142</v>
      </c>
      <c r="B69" s="11">
        <v>2.6036494270000001</v>
      </c>
      <c r="C69" s="17">
        <v>2.5051824709999999</v>
      </c>
      <c r="D69">
        <v>2.4700000000000002</v>
      </c>
      <c r="F69" s="25">
        <f t="shared" si="3"/>
        <v>7.3245003905212167</v>
      </c>
      <c r="G69" s="29">
        <f t="shared" si="4"/>
        <v>6.7789903387174286</v>
      </c>
      <c r="H69" s="31">
        <f t="shared" si="5"/>
        <v>6.2759392130056657</v>
      </c>
    </row>
    <row r="70" spans="1:8" x14ac:dyDescent="0.3">
      <c r="A70" s="5">
        <v>4.1955320900000004</v>
      </c>
      <c r="B70" s="11">
        <v>3.4907921590000002</v>
      </c>
      <c r="C70" s="17">
        <v>2.5495396079999999</v>
      </c>
      <c r="D70">
        <v>2.4700000000000002</v>
      </c>
      <c r="F70" s="25">
        <f t="shared" si="3"/>
        <v>17.60248951821977</v>
      </c>
      <c r="G70" s="29">
        <f t="shared" si="4"/>
        <v>12.185629897335883</v>
      </c>
      <c r="H70" s="31">
        <f t="shared" si="5"/>
        <v>6.5001522127607929</v>
      </c>
    </row>
    <row r="71" spans="1:8" x14ac:dyDescent="0.3">
      <c r="A71" s="5">
        <v>2.4834437089999999</v>
      </c>
      <c r="B71" s="11">
        <v>2.4916997240000001</v>
      </c>
      <c r="C71" s="17">
        <v>2.4995849859999999</v>
      </c>
      <c r="D71">
        <v>2.4700000000000002</v>
      </c>
      <c r="F71" s="25">
        <f t="shared" si="3"/>
        <v>6.1674926557716763</v>
      </c>
      <c r="G71" s="29">
        <f t="shared" si="4"/>
        <v>6.2085675145816763</v>
      </c>
      <c r="H71" s="31">
        <f t="shared" si="5"/>
        <v>6.2479251022366196</v>
      </c>
    </row>
    <row r="72" spans="1:8" x14ac:dyDescent="0.3">
      <c r="A72" s="5">
        <v>0.29862361500000001</v>
      </c>
      <c r="B72" s="11">
        <v>0.94291323800000004</v>
      </c>
      <c r="C72" s="17">
        <v>2.4221456620000001</v>
      </c>
      <c r="D72">
        <v>2.4700000000000002</v>
      </c>
      <c r="F72" s="25">
        <f t="shared" si="3"/>
        <v>8.9176063435668224E-2</v>
      </c>
      <c r="G72" s="29">
        <f t="shared" si="4"/>
        <v>0.88908537439564472</v>
      </c>
      <c r="H72" s="31">
        <f t="shared" si="5"/>
        <v>5.8667896079454191</v>
      </c>
    </row>
    <row r="73" spans="1:8" x14ac:dyDescent="0.3">
      <c r="A73" s="5">
        <v>3.4809411909999999</v>
      </c>
      <c r="B73" s="11">
        <v>3.0134688760000001</v>
      </c>
      <c r="C73" s="17">
        <v>2.5256734440000002</v>
      </c>
      <c r="D73">
        <v>2.4700000000000002</v>
      </c>
      <c r="F73" s="25">
        <f t="shared" si="3"/>
        <v>12.116951575200497</v>
      </c>
      <c r="G73" s="29">
        <f t="shared" si="4"/>
        <v>9.080994666620704</v>
      </c>
      <c r="H73" s="31">
        <f t="shared" si="5"/>
        <v>6.3790263457268219</v>
      </c>
    </row>
    <row r="74" spans="1:8" x14ac:dyDescent="0.3">
      <c r="A74" s="5">
        <v>2.5548570210000001</v>
      </c>
      <c r="B74" s="11">
        <v>2.5275042569999999</v>
      </c>
      <c r="C74" s="17">
        <v>2.5013752130000002</v>
      </c>
      <c r="D74">
        <v>2.4700000000000002</v>
      </c>
      <c r="F74" s="25">
        <f t="shared" si="3"/>
        <v>6.5272943977529954</v>
      </c>
      <c r="G74" s="29">
        <f t="shared" si="4"/>
        <v>6.3882777691531221</v>
      </c>
      <c r="H74" s="31">
        <f t="shared" si="5"/>
        <v>6.2568779562107961</v>
      </c>
    </row>
    <row r="75" spans="1:8" x14ac:dyDescent="0.3">
      <c r="A75" s="5">
        <v>1.460921049</v>
      </c>
      <c r="B75" s="11">
        <v>1.9529844119999999</v>
      </c>
      <c r="C75" s="17">
        <v>2.4726492210000002</v>
      </c>
      <c r="D75">
        <v>2.4700000000000002</v>
      </c>
      <c r="F75" s="25">
        <f t="shared" si="3"/>
        <v>2.1342903114112604</v>
      </c>
      <c r="G75" s="29">
        <f t="shared" si="4"/>
        <v>3.8141481135149857</v>
      </c>
      <c r="H75" s="31">
        <f t="shared" si="5"/>
        <v>6.1139941701119076</v>
      </c>
    </row>
    <row r="76" spans="1:8" x14ac:dyDescent="0.3">
      <c r="A76" s="5">
        <v>2.8893398850000001</v>
      </c>
      <c r="B76" s="11">
        <v>2.696441761</v>
      </c>
      <c r="C76" s="17">
        <v>2.509822088</v>
      </c>
      <c r="D76">
        <v>2.4700000000000002</v>
      </c>
      <c r="F76" s="25">
        <f t="shared" si="3"/>
        <v>8.3482849710518128</v>
      </c>
      <c r="G76" s="29">
        <f t="shared" si="4"/>
        <v>7.2707981704647811</v>
      </c>
      <c r="H76" s="31">
        <f t="shared" si="5"/>
        <v>6.2992069134126796</v>
      </c>
    </row>
    <row r="77" spans="1:8" x14ac:dyDescent="0.3">
      <c r="A77" s="5">
        <v>2.0712912380000001</v>
      </c>
      <c r="B77" s="11">
        <v>2.283394742</v>
      </c>
      <c r="C77" s="17">
        <v>2.4891697370000001</v>
      </c>
      <c r="D77">
        <v>2.4700000000000002</v>
      </c>
      <c r="F77" s="25">
        <f t="shared" si="3"/>
        <v>4.2902473926155729</v>
      </c>
      <c r="G77" s="29">
        <f t="shared" si="4"/>
        <v>5.2138915477932466</v>
      </c>
      <c r="H77" s="31">
        <f t="shared" si="5"/>
        <v>6.1959659795966493</v>
      </c>
    </row>
    <row r="78" spans="1:8" x14ac:dyDescent="0.3">
      <c r="A78" s="5">
        <v>2.9016998809999999</v>
      </c>
      <c r="B78" s="11">
        <v>2.7027627490000001</v>
      </c>
      <c r="C78" s="17">
        <v>2.5101381370000002</v>
      </c>
      <c r="D78">
        <v>2.4700000000000002</v>
      </c>
      <c r="F78" s="25">
        <f t="shared" si="3"/>
        <v>8.4198621993954141</v>
      </c>
      <c r="G78" s="29">
        <f t="shared" si="4"/>
        <v>7.3049264773820379</v>
      </c>
      <c r="H78" s="31">
        <f t="shared" si="5"/>
        <v>6.3007934668218315</v>
      </c>
    </row>
    <row r="79" spans="1:8" x14ac:dyDescent="0.3">
      <c r="A79" s="5">
        <v>1.451155126</v>
      </c>
      <c r="B79" s="11">
        <v>1.947290975</v>
      </c>
      <c r="C79" s="17">
        <v>2.4723645489999999</v>
      </c>
      <c r="D79">
        <v>2.4700000000000002</v>
      </c>
      <c r="F79" s="25">
        <f t="shared" si="3"/>
        <v>2.1058511997160756</v>
      </c>
      <c r="G79" s="29">
        <f t="shared" si="4"/>
        <v>3.7919421413164507</v>
      </c>
      <c r="H79" s="31">
        <f t="shared" si="5"/>
        <v>6.1125864631519731</v>
      </c>
    </row>
    <row r="80" spans="1:8" x14ac:dyDescent="0.3">
      <c r="A80" s="5">
        <v>1.672414319</v>
      </c>
      <c r="B80" s="11">
        <v>2.0724317609999998</v>
      </c>
      <c r="C80" s="17">
        <v>2.4786215880000002</v>
      </c>
      <c r="D80">
        <v>2.4700000000000002</v>
      </c>
      <c r="F80" s="25">
        <f t="shared" si="3"/>
        <v>2.7969696543962339</v>
      </c>
      <c r="G80" s="29">
        <f t="shared" si="4"/>
        <v>4.2949734040015608</v>
      </c>
      <c r="H80" s="31">
        <f t="shared" si="5"/>
        <v>6.1435649764996425</v>
      </c>
    </row>
    <row r="81" spans="1:8" x14ac:dyDescent="0.3">
      <c r="A81" s="5">
        <v>3.9240699480000001</v>
      </c>
      <c r="B81" s="11">
        <v>3.288554644</v>
      </c>
      <c r="C81" s="17">
        <v>2.539427732</v>
      </c>
      <c r="D81">
        <v>2.4700000000000002</v>
      </c>
      <c r="F81" s="25">
        <f t="shared" si="3"/>
        <v>15.398324956796724</v>
      </c>
      <c r="G81" s="29">
        <f t="shared" si="4"/>
        <v>10.814591646573966</v>
      </c>
      <c r="H81" s="31">
        <f t="shared" si="5"/>
        <v>6.4486932060506641</v>
      </c>
    </row>
    <row r="82" spans="1:8" x14ac:dyDescent="0.3">
      <c r="A82" s="5">
        <v>4.348429823</v>
      </c>
      <c r="B82" s="11">
        <v>3.6249085220000001</v>
      </c>
      <c r="C82" s="17">
        <v>2.5562454259999998</v>
      </c>
      <c r="D82">
        <v>2.4700000000000002</v>
      </c>
      <c r="F82" s="25">
        <f t="shared" si="3"/>
        <v>18.908841925555812</v>
      </c>
      <c r="G82" s="29">
        <f t="shared" si="4"/>
        <v>13.139961792868226</v>
      </c>
      <c r="H82" s="31">
        <f t="shared" si="5"/>
        <v>6.5343906779459209</v>
      </c>
    </row>
    <row r="83" spans="1:8" x14ac:dyDescent="0.3">
      <c r="A83" s="5">
        <v>1.2617877740000001</v>
      </c>
      <c r="B83" s="11">
        <v>1.8329106470000001</v>
      </c>
      <c r="C83" s="17">
        <v>2.4666455319999998</v>
      </c>
      <c r="D83">
        <v>2.4700000000000002</v>
      </c>
      <c r="F83" s="25">
        <f t="shared" si="3"/>
        <v>1.5921083866158754</v>
      </c>
      <c r="G83" s="29">
        <f t="shared" si="4"/>
        <v>3.359561439885959</v>
      </c>
      <c r="H83" s="31">
        <f t="shared" si="5"/>
        <v>6.0843401805355617</v>
      </c>
    </row>
    <row r="84" spans="1:8" x14ac:dyDescent="0.3">
      <c r="A84" s="5">
        <v>4.2896816920000003</v>
      </c>
      <c r="B84" s="11">
        <v>3.5710937199999999</v>
      </c>
      <c r="C84" s="17">
        <v>2.553554686</v>
      </c>
      <c r="D84">
        <v>2.4700000000000002</v>
      </c>
      <c r="F84" s="25">
        <f t="shared" si="3"/>
        <v>18.401369018679986</v>
      </c>
      <c r="G84" s="29">
        <f t="shared" si="4"/>
        <v>12.752710357023437</v>
      </c>
      <c r="H84" s="31">
        <f t="shared" si="5"/>
        <v>6.520641534392559</v>
      </c>
    </row>
    <row r="85" spans="1:8" x14ac:dyDescent="0.3">
      <c r="A85" s="5">
        <v>1.419568468</v>
      </c>
      <c r="B85" s="11">
        <v>1.928746378</v>
      </c>
      <c r="C85" s="17">
        <v>2.4714373190000001</v>
      </c>
      <c r="D85">
        <v>2.4700000000000002</v>
      </c>
      <c r="F85" s="25">
        <f t="shared" si="3"/>
        <v>2.015174635339867</v>
      </c>
      <c r="G85" s="29">
        <f t="shared" si="4"/>
        <v>3.7200625906481188</v>
      </c>
      <c r="H85" s="31">
        <f t="shared" si="5"/>
        <v>6.1080024217459084</v>
      </c>
    </row>
    <row r="86" spans="1:8" x14ac:dyDescent="0.3">
      <c r="A86" s="5">
        <v>1.338084048</v>
      </c>
      <c r="B86" s="11">
        <v>1.879963356</v>
      </c>
      <c r="C86" s="17">
        <v>2.4689981680000002</v>
      </c>
      <c r="D86">
        <v>2.4700000000000002</v>
      </c>
      <c r="F86" s="25">
        <f t="shared" si="3"/>
        <v>1.7904689195120664</v>
      </c>
      <c r="G86" s="29">
        <f t="shared" si="4"/>
        <v>3.5342622199027827</v>
      </c>
      <c r="H86" s="31">
        <f t="shared" si="5"/>
        <v>6.095951953587357</v>
      </c>
    </row>
    <row r="87" spans="1:8" x14ac:dyDescent="0.3">
      <c r="A87" s="5">
        <v>0.310525834</v>
      </c>
      <c r="B87" s="11">
        <v>0.96266291599999998</v>
      </c>
      <c r="C87" s="17">
        <v>2.4231331460000001</v>
      </c>
      <c r="D87">
        <v>2.4700000000000002</v>
      </c>
      <c r="F87" s="25">
        <f t="shared" si="3"/>
        <v>9.6426293581395553E-2</v>
      </c>
      <c r="G87" s="29">
        <f t="shared" si="4"/>
        <v>0.92671988984162301</v>
      </c>
      <c r="H87" s="31">
        <f t="shared" si="5"/>
        <v>5.8715742432438578</v>
      </c>
    </row>
    <row r="88" spans="1:8" x14ac:dyDescent="0.3">
      <c r="A88" s="5">
        <v>1.747795038</v>
      </c>
      <c r="B88" s="11">
        <v>2.1134886260000001</v>
      </c>
      <c r="C88" s="17">
        <v>2.4806744310000002</v>
      </c>
      <c r="D88">
        <v>2.4700000000000002</v>
      </c>
      <c r="F88" s="25">
        <f t="shared" si="3"/>
        <v>3.0547874948574214</v>
      </c>
      <c r="G88" s="29">
        <f t="shared" si="4"/>
        <v>4.4668341722313682</v>
      </c>
      <c r="H88" s="31">
        <f t="shared" si="5"/>
        <v>6.1537456326171744</v>
      </c>
    </row>
    <row r="89" spans="1:8" x14ac:dyDescent="0.3">
      <c r="A89" s="5">
        <v>1.255989257</v>
      </c>
      <c r="B89" s="11">
        <v>1.8292749420000001</v>
      </c>
      <c r="C89" s="17">
        <v>2.4664637470000002</v>
      </c>
      <c r="D89">
        <v>2.4700000000000002</v>
      </c>
      <c r="F89" s="25">
        <f t="shared" si="3"/>
        <v>1.5775090136994119</v>
      </c>
      <c r="G89" s="29">
        <f t="shared" si="4"/>
        <v>3.3462468134291035</v>
      </c>
      <c r="H89" s="31">
        <f t="shared" si="5"/>
        <v>6.0834434152652808</v>
      </c>
    </row>
    <row r="90" spans="1:8" x14ac:dyDescent="0.3">
      <c r="A90" s="5">
        <v>2.118900113</v>
      </c>
      <c r="B90" s="11">
        <v>2.3077669260000002</v>
      </c>
      <c r="C90" s="17">
        <v>2.490388346</v>
      </c>
      <c r="D90">
        <v>2.4700000000000002</v>
      </c>
      <c r="F90" s="25">
        <f t="shared" si="3"/>
        <v>4.4897376888714131</v>
      </c>
      <c r="G90" s="29">
        <f t="shared" si="4"/>
        <v>5.3257881847394906</v>
      </c>
      <c r="H90" s="31">
        <f t="shared" si="5"/>
        <v>6.2020341138926156</v>
      </c>
    </row>
    <row r="91" spans="1:8" x14ac:dyDescent="0.3">
      <c r="A91" s="5">
        <v>1.326029237</v>
      </c>
      <c r="B91" s="11">
        <v>1.8726225970000001</v>
      </c>
      <c r="C91" s="17">
        <v>2.4686311299999999</v>
      </c>
      <c r="D91">
        <v>2.4700000000000002</v>
      </c>
      <c r="F91" s="25">
        <f t="shared" si="3"/>
        <v>1.7583535373788022</v>
      </c>
      <c r="G91" s="29">
        <f t="shared" si="4"/>
        <v>3.506715390795025</v>
      </c>
      <c r="H91" s="31">
        <f t="shared" si="5"/>
        <v>6.0941396560050762</v>
      </c>
    </row>
    <row r="92" spans="1:8" x14ac:dyDescent="0.3">
      <c r="A92" s="5">
        <v>0.94225897999999997</v>
      </c>
      <c r="B92" s="11">
        <v>1.6163849699999999</v>
      </c>
      <c r="C92" s="17">
        <v>2.4558192480000001</v>
      </c>
      <c r="D92">
        <v>2.4700000000000002</v>
      </c>
      <c r="F92" s="25">
        <f t="shared" si="3"/>
        <v>0.88785198539064036</v>
      </c>
      <c r="G92" s="29">
        <f t="shared" si="4"/>
        <v>2.6127003712419006</v>
      </c>
      <c r="H92" s="31">
        <f t="shared" si="5"/>
        <v>6.0310481788472856</v>
      </c>
    </row>
    <row r="93" spans="1:8" x14ac:dyDescent="0.3">
      <c r="A93" s="5">
        <v>6.1037019999999999E-3</v>
      </c>
      <c r="B93" s="11">
        <v>-0.53058186500000004</v>
      </c>
      <c r="C93" s="17">
        <v>2.3484709069999998</v>
      </c>
      <c r="D93">
        <v>2.4700000000000002</v>
      </c>
      <c r="F93" s="25">
        <f t="shared" si="3"/>
        <v>3.7255178104803998E-5</v>
      </c>
      <c r="G93" s="29">
        <f t="shared" si="4"/>
        <v>0.28151711546687824</v>
      </c>
      <c r="H93" s="31">
        <f t="shared" si="5"/>
        <v>5.5153156010254021</v>
      </c>
    </row>
    <row r="94" spans="1:8" x14ac:dyDescent="0.3">
      <c r="A94" s="5">
        <v>2.6975310530000001</v>
      </c>
      <c r="B94" s="11">
        <v>2.5991894919999998</v>
      </c>
      <c r="C94" s="17">
        <v>2.5049594750000002</v>
      </c>
      <c r="D94">
        <v>2.4700000000000002</v>
      </c>
      <c r="F94" s="25">
        <f t="shared" si="3"/>
        <v>7.276673781899289</v>
      </c>
      <c r="G94" s="29">
        <f t="shared" si="4"/>
        <v>6.755786015323217</v>
      </c>
      <c r="H94" s="31">
        <f t="shared" si="5"/>
        <v>6.2748219713922762</v>
      </c>
    </row>
    <row r="95" spans="1:8" x14ac:dyDescent="0.3">
      <c r="A95" s="5">
        <v>1.6127506330000001</v>
      </c>
      <c r="B95" s="11">
        <v>2.0394205140000001</v>
      </c>
      <c r="C95" s="17">
        <v>2.4769710260000002</v>
      </c>
      <c r="D95">
        <v>2.4700000000000002</v>
      </c>
      <c r="F95" s="25">
        <f t="shared" si="3"/>
        <v>2.6009646042419008</v>
      </c>
      <c r="G95" s="29">
        <f t="shared" si="4"/>
        <v>4.1592360329240243</v>
      </c>
      <c r="H95" s="31">
        <f t="shared" si="5"/>
        <v>6.1353854636434937</v>
      </c>
    </row>
    <row r="96" spans="1:8" x14ac:dyDescent="0.3">
      <c r="A96" s="5">
        <v>1.485488449</v>
      </c>
      <c r="B96" s="11">
        <v>1.96723392</v>
      </c>
      <c r="C96" s="17">
        <v>2.473361696</v>
      </c>
      <c r="D96">
        <v>2.4700000000000002</v>
      </c>
      <c r="F96" s="25">
        <f t="shared" si="3"/>
        <v>2.2066759321124256</v>
      </c>
      <c r="G96" s="29">
        <f t="shared" si="4"/>
        <v>3.8700092959985661</v>
      </c>
      <c r="H96" s="31">
        <f t="shared" si="5"/>
        <v>6.1175180792399964</v>
      </c>
    </row>
    <row r="97" spans="1:8" x14ac:dyDescent="0.3">
      <c r="A97" s="5">
        <v>1.7549668869999999</v>
      </c>
      <c r="B97" s="11">
        <v>2.1173596629999998</v>
      </c>
      <c r="C97" s="17">
        <v>2.480867983</v>
      </c>
      <c r="D97">
        <v>2.4700000000000002</v>
      </c>
      <c r="F97" s="25">
        <f t="shared" si="3"/>
        <v>3.0799087744664706</v>
      </c>
      <c r="G97" s="29">
        <f t="shared" si="4"/>
        <v>4.483211942499473</v>
      </c>
      <c r="H97" s="31">
        <f t="shared" si="5"/>
        <v>6.1547059490744882</v>
      </c>
    </row>
    <row r="98" spans="1:8" x14ac:dyDescent="0.3">
      <c r="A98" s="5">
        <v>4.5522934660000001</v>
      </c>
      <c r="B98" s="11">
        <v>3.8435851539999999</v>
      </c>
      <c r="C98" s="17">
        <v>2.5671792579999999</v>
      </c>
      <c r="D98">
        <v>2.4700000000000002</v>
      </c>
      <c r="F98" s="25">
        <f t="shared" si="3"/>
        <v>20.723375800586293</v>
      </c>
      <c r="G98" s="29">
        <f t="shared" si="4"/>
        <v>14.773146836049204</v>
      </c>
      <c r="H98" s="31">
        <f t="shared" si="5"/>
        <v>6.5904093427054304</v>
      </c>
    </row>
    <row r="99" spans="1:8" x14ac:dyDescent="0.3">
      <c r="A99" s="5">
        <v>3.0368968779999999</v>
      </c>
      <c r="B99" s="11">
        <v>2.7724959810000001</v>
      </c>
      <c r="C99" s="17">
        <v>2.513624799</v>
      </c>
      <c r="D99">
        <v>2.4700000000000002</v>
      </c>
      <c r="F99" s="25">
        <f t="shared" si="3"/>
        <v>9.2227426476061467</v>
      </c>
      <c r="G99" s="29">
        <f t="shared" si="4"/>
        <v>7.686733964661153</v>
      </c>
      <c r="H99" s="31">
        <f t="shared" si="5"/>
        <v>6.3183096301477901</v>
      </c>
    </row>
    <row r="100" spans="1:8" x14ac:dyDescent="0.3">
      <c r="A100" s="5">
        <v>1.374553667</v>
      </c>
      <c r="B100" s="11">
        <v>1.9019731280000001</v>
      </c>
      <c r="C100" s="17">
        <v>2.4700986559999998</v>
      </c>
      <c r="D100">
        <v>2.4700000000000002</v>
      </c>
      <c r="F100" s="25">
        <f t="shared" si="3"/>
        <v>1.889397783463147</v>
      </c>
      <c r="G100" s="29">
        <f t="shared" si="4"/>
        <v>3.6175017796341047</v>
      </c>
      <c r="H100" s="31">
        <f t="shared" si="5"/>
        <v>6.101387370373005</v>
      </c>
    </row>
    <row r="101" spans="1:8" x14ac:dyDescent="0.3">
      <c r="A101" s="5">
        <v>4.2228461560000001</v>
      </c>
      <c r="B101" s="11">
        <v>3.51341584</v>
      </c>
      <c r="C101" s="17">
        <v>2.550670792</v>
      </c>
      <c r="D101">
        <v>2.4700000000000002</v>
      </c>
      <c r="F101" s="25">
        <f t="shared" si="3"/>
        <v>17.832429657243978</v>
      </c>
      <c r="G101" s="29">
        <f t="shared" si="4"/>
        <v>12.344090864762906</v>
      </c>
      <c r="H101" s="31">
        <f t="shared" si="5"/>
        <v>6.5059214891619073</v>
      </c>
    </row>
    <row r="102" spans="1:8" x14ac:dyDescent="0.3">
      <c r="A102" s="5">
        <v>1.8869594409999999</v>
      </c>
      <c r="B102" s="11">
        <v>2.1876613300000001</v>
      </c>
      <c r="C102" s="17">
        <v>2.4843830659999999</v>
      </c>
      <c r="D102">
        <v>2.4700000000000002</v>
      </c>
      <c r="F102" s="25">
        <f t="shared" si="3"/>
        <v>3.560615931979032</v>
      </c>
      <c r="G102" s="29">
        <f t="shared" si="4"/>
        <v>4.7858620947773689</v>
      </c>
      <c r="H102" s="31">
        <f t="shared" si="5"/>
        <v>6.1721592186275602</v>
      </c>
    </row>
    <row r="103" spans="1:8" x14ac:dyDescent="0.3">
      <c r="A103" s="5">
        <v>3.3899960330000001</v>
      </c>
      <c r="B103" s="11">
        <v>2.9621119839999999</v>
      </c>
      <c r="C103" s="17">
        <v>2.523105599</v>
      </c>
      <c r="D103">
        <v>2.4700000000000002</v>
      </c>
      <c r="F103" s="25">
        <f t="shared" si="3"/>
        <v>11.492073103755738</v>
      </c>
      <c r="G103" s="29">
        <f t="shared" si="4"/>
        <v>8.7741074057564159</v>
      </c>
      <c r="H103" s="31">
        <f t="shared" si="5"/>
        <v>6.3660618637051485</v>
      </c>
    </row>
    <row r="104" spans="1:8" x14ac:dyDescent="0.3">
      <c r="A104" s="5">
        <v>3.5268715479999999</v>
      </c>
      <c r="B104" s="11">
        <v>3.03992153</v>
      </c>
      <c r="C104" s="17">
        <v>2.5269960760000001</v>
      </c>
      <c r="D104">
        <v>2.4700000000000002</v>
      </c>
      <c r="F104" s="25">
        <f t="shared" si="3"/>
        <v>12.438822916091915</v>
      </c>
      <c r="G104" s="29">
        <f t="shared" si="4"/>
        <v>9.241122908557541</v>
      </c>
      <c r="H104" s="31">
        <f t="shared" si="5"/>
        <v>6.3857091681193978</v>
      </c>
    </row>
    <row r="105" spans="1:8" x14ac:dyDescent="0.3">
      <c r="A105" s="5">
        <v>2.2824793240000001</v>
      </c>
      <c r="B105" s="11">
        <v>2.3907344429999999</v>
      </c>
      <c r="C105" s="17">
        <v>2.4945367219999999</v>
      </c>
      <c r="D105">
        <v>2.4700000000000002</v>
      </c>
      <c r="F105" s="25">
        <f t="shared" si="3"/>
        <v>5.2097118644874971</v>
      </c>
      <c r="G105" s="29">
        <f t="shared" si="4"/>
        <v>5.7156111769465197</v>
      </c>
      <c r="H105" s="31">
        <f t="shared" si="5"/>
        <v>6.2227134574065044</v>
      </c>
    </row>
    <row r="106" spans="1:8" x14ac:dyDescent="0.3">
      <c r="A106" s="5">
        <v>1.707510605</v>
      </c>
      <c r="B106" s="11">
        <v>2.091632331</v>
      </c>
      <c r="C106" s="17">
        <v>2.479581617</v>
      </c>
      <c r="D106">
        <v>2.4700000000000002</v>
      </c>
      <c r="F106" s="25">
        <f t="shared" si="3"/>
        <v>2.9155924661874657</v>
      </c>
      <c r="G106" s="29">
        <f t="shared" si="4"/>
        <v>4.3749258080844937</v>
      </c>
      <c r="H106" s="31">
        <f t="shared" si="5"/>
        <v>6.1483249953643346</v>
      </c>
    </row>
    <row r="107" spans="1:8" x14ac:dyDescent="0.3">
      <c r="A107" s="5">
        <v>4.2840357679999999</v>
      </c>
      <c r="B107" s="11">
        <v>3.5660846780000002</v>
      </c>
      <c r="C107" s="17">
        <v>2.5533042340000001</v>
      </c>
      <c r="D107">
        <v>2.4700000000000002</v>
      </c>
      <c r="F107" s="25">
        <f t="shared" si="3"/>
        <v>18.352962461503349</v>
      </c>
      <c r="G107" s="29">
        <f t="shared" si="4"/>
        <v>12.716959930666365</v>
      </c>
      <c r="H107" s="31">
        <f t="shared" si="5"/>
        <v>6.5193625113623268</v>
      </c>
    </row>
    <row r="108" spans="1:8" x14ac:dyDescent="0.3">
      <c r="A108" s="5">
        <v>2.7173680839999999</v>
      </c>
      <c r="B108" s="11">
        <v>2.6091893860000002</v>
      </c>
      <c r="C108" s="17">
        <v>2.5054594689999998</v>
      </c>
      <c r="D108">
        <v>2.4700000000000002</v>
      </c>
      <c r="F108" s="25">
        <f t="shared" si="3"/>
        <v>7.3840893039418303</v>
      </c>
      <c r="G108" s="29">
        <f t="shared" si="4"/>
        <v>6.8078692520150579</v>
      </c>
      <c r="H108" s="31">
        <f t="shared" si="5"/>
        <v>6.277327150801761</v>
      </c>
    </row>
    <row r="109" spans="1:8" x14ac:dyDescent="0.3">
      <c r="A109" s="5">
        <v>0.27344584500000002</v>
      </c>
      <c r="B109" s="11">
        <v>0.89900738199999997</v>
      </c>
      <c r="C109" s="17">
        <v>2.4199503689999999</v>
      </c>
      <c r="D109">
        <v>2.4700000000000002</v>
      </c>
      <c r="F109" s="25">
        <f t="shared" si="3"/>
        <v>7.477263014776403E-2</v>
      </c>
      <c r="G109" s="29">
        <f t="shared" si="4"/>
        <v>0.80821427289049386</v>
      </c>
      <c r="H109" s="31">
        <f t="shared" si="5"/>
        <v>5.8561597884232359</v>
      </c>
    </row>
    <row r="110" spans="1:8" x14ac:dyDescent="0.3">
      <c r="A110" s="5">
        <v>2.5009918519999998</v>
      </c>
      <c r="B110" s="11">
        <v>2.500497948</v>
      </c>
      <c r="C110" s="17">
        <v>2.5000248969999999</v>
      </c>
      <c r="D110">
        <v>2.4700000000000002</v>
      </c>
      <c r="F110" s="25">
        <f t="shared" si="3"/>
        <v>6.2549602437703893</v>
      </c>
      <c r="G110" s="29">
        <f t="shared" si="4"/>
        <v>6.2524899879522104</v>
      </c>
      <c r="H110" s="31">
        <f t="shared" si="5"/>
        <v>6.2501244856198603</v>
      </c>
    </row>
    <row r="111" spans="1:8" x14ac:dyDescent="0.3">
      <c r="A111" s="5">
        <v>3.2381664479999999</v>
      </c>
      <c r="B111" s="11">
        <v>2.8789386939999999</v>
      </c>
      <c r="C111" s="17">
        <v>2.5189469350000002</v>
      </c>
      <c r="D111">
        <v>2.4700000000000002</v>
      </c>
      <c r="F111" s="25">
        <f t="shared" si="3"/>
        <v>10.485721944952935</v>
      </c>
      <c r="G111" s="29">
        <f t="shared" si="4"/>
        <v>8.2882880038104254</v>
      </c>
      <c r="H111" s="31">
        <f t="shared" si="5"/>
        <v>6.3450936613458957</v>
      </c>
    </row>
    <row r="112" spans="1:8" x14ac:dyDescent="0.3">
      <c r="A112" s="5">
        <v>4.9468977939999998</v>
      </c>
      <c r="B112" s="11">
        <v>4.8036773200000003</v>
      </c>
      <c r="C112" s="17">
        <v>2.6151838660000002</v>
      </c>
      <c r="D112">
        <v>2.4700000000000002</v>
      </c>
      <c r="F112" s="25">
        <f t="shared" si="3"/>
        <v>24.471797784282064</v>
      </c>
      <c r="G112" s="29">
        <f t="shared" si="4"/>
        <v>23.075315794682385</v>
      </c>
      <c r="H112" s="31">
        <f t="shared" si="5"/>
        <v>6.8391866529867071</v>
      </c>
    </row>
    <row r="113" spans="1:8" x14ac:dyDescent="0.3">
      <c r="A113" s="5">
        <v>2.0227668080000001</v>
      </c>
      <c r="B113" s="11">
        <v>2.2584211540000001</v>
      </c>
      <c r="C113" s="17">
        <v>2.487921058</v>
      </c>
      <c r="D113">
        <v>2.4700000000000002</v>
      </c>
      <c r="F113" s="25">
        <f t="shared" si="3"/>
        <v>4.0915855595465089</v>
      </c>
      <c r="G113" s="29">
        <f t="shared" si="4"/>
        <v>5.1004661088346923</v>
      </c>
      <c r="H113" s="31">
        <f t="shared" si="5"/>
        <v>6.1897511908398393</v>
      </c>
    </row>
    <row r="114" spans="1:8" x14ac:dyDescent="0.3">
      <c r="A114" s="5">
        <v>4.801324503</v>
      </c>
      <c r="B114" s="11">
        <v>4.2537695380000002</v>
      </c>
      <c r="C114" s="17">
        <v>2.5876884769999999</v>
      </c>
      <c r="D114">
        <v>2.4700000000000002</v>
      </c>
      <c r="F114" s="25">
        <f t="shared" si="3"/>
        <v>23.052716983108198</v>
      </c>
      <c r="G114" s="29">
        <f t="shared" si="4"/>
        <v>18.094555282416735</v>
      </c>
      <c r="H114" s="31">
        <f t="shared" si="5"/>
        <v>6.6961316539985791</v>
      </c>
    </row>
    <row r="115" spans="1:8" x14ac:dyDescent="0.3">
      <c r="A115" s="5">
        <v>0.108798486</v>
      </c>
      <c r="B115" s="11">
        <v>0.48131284499999999</v>
      </c>
      <c r="C115" s="17">
        <v>2.3990656420000001</v>
      </c>
      <c r="D115">
        <v>2.4700000000000002</v>
      </c>
      <c r="F115" s="25">
        <f t="shared" si="3"/>
        <v>1.1837110555892197E-2</v>
      </c>
      <c r="G115" s="29">
        <f t="shared" si="4"/>
        <v>0.231662054761994</v>
      </c>
      <c r="H115" s="31">
        <f t="shared" si="5"/>
        <v>5.7555159546248724</v>
      </c>
    </row>
    <row r="116" spans="1:8" x14ac:dyDescent="0.3">
      <c r="A116" s="5">
        <v>3.7725455490000002</v>
      </c>
      <c r="B116" s="11">
        <v>3.1887478319999998</v>
      </c>
      <c r="C116" s="17">
        <v>2.5344373920000001</v>
      </c>
      <c r="D116">
        <v>2.4700000000000002</v>
      </c>
      <c r="F116" s="25">
        <f t="shared" si="3"/>
        <v>14.232099919279714</v>
      </c>
      <c r="G116" s="29">
        <f t="shared" si="4"/>
        <v>10.1681127360847</v>
      </c>
      <c r="H116" s="31">
        <f t="shared" si="5"/>
        <v>6.4233728939677617</v>
      </c>
    </row>
    <row r="117" spans="1:8" x14ac:dyDescent="0.3">
      <c r="A117" s="5">
        <v>4.97604297</v>
      </c>
      <c r="B117" s="11">
        <v>5.0905319489999998</v>
      </c>
      <c r="C117" s="17">
        <v>2.6295265969999999</v>
      </c>
      <c r="D117">
        <v>2.4700000000000002</v>
      </c>
      <c r="F117" s="25">
        <f t="shared" si="3"/>
        <v>24.761003639286422</v>
      </c>
      <c r="G117" s="29">
        <f t="shared" si="4"/>
        <v>25.913515523789737</v>
      </c>
      <c r="H117" s="31">
        <f t="shared" si="5"/>
        <v>6.9144101243304004</v>
      </c>
    </row>
    <row r="118" spans="1:8" x14ac:dyDescent="0.3">
      <c r="A118" s="5">
        <v>4.4186223939999998</v>
      </c>
      <c r="B118" s="11">
        <v>3.6938141139999998</v>
      </c>
      <c r="C118" s="17">
        <v>2.559690706</v>
      </c>
      <c r="D118">
        <v>2.4700000000000002</v>
      </c>
      <c r="F118" s="25">
        <f t="shared" si="3"/>
        <v>19.524223860758291</v>
      </c>
      <c r="G118" s="29">
        <f t="shared" si="4"/>
        <v>13.644262708785604</v>
      </c>
      <c r="H118" s="31">
        <f t="shared" si="5"/>
        <v>6.5520165103827788</v>
      </c>
    </row>
    <row r="119" spans="1:8" x14ac:dyDescent="0.3">
      <c r="A119" s="5">
        <v>0.52400280799999999</v>
      </c>
      <c r="B119" s="11">
        <v>1.2453361430000001</v>
      </c>
      <c r="C119" s="17">
        <v>2.4372668069999999</v>
      </c>
      <c r="D119">
        <v>2.4700000000000002</v>
      </c>
      <c r="F119" s="25">
        <f t="shared" si="3"/>
        <v>0.27457894279188483</v>
      </c>
      <c r="G119" s="29">
        <f t="shared" si="4"/>
        <v>1.5508621090621166</v>
      </c>
      <c r="H119" s="31">
        <f t="shared" si="5"/>
        <v>5.9402694885039748</v>
      </c>
    </row>
    <row r="120" spans="1:8" x14ac:dyDescent="0.3">
      <c r="A120" s="5">
        <v>0.63402203400000001</v>
      </c>
      <c r="B120" s="11">
        <v>1.3583726920000001</v>
      </c>
      <c r="C120" s="17">
        <v>2.4429186349999998</v>
      </c>
      <c r="D120">
        <v>2.4700000000000002</v>
      </c>
      <c r="F120" s="25">
        <f t="shared" si="3"/>
        <v>0.40198393959749718</v>
      </c>
      <c r="G120" s="29">
        <f t="shared" si="4"/>
        <v>1.8451763703713271</v>
      </c>
      <c r="H120" s="31">
        <f t="shared" si="5"/>
        <v>5.9678514572302621</v>
      </c>
    </row>
    <row r="121" spans="1:8" x14ac:dyDescent="0.3">
      <c r="A121" s="5">
        <v>2.3461104160000001</v>
      </c>
      <c r="B121" s="11">
        <v>2.422774805</v>
      </c>
      <c r="C121" s="17">
        <v>2.4961387400000001</v>
      </c>
      <c r="D121">
        <v>2.4700000000000002</v>
      </c>
      <c r="F121" s="25">
        <f t="shared" si="3"/>
        <v>5.5042340840636941</v>
      </c>
      <c r="G121" s="29">
        <f t="shared" si="4"/>
        <v>5.8698377557427879</v>
      </c>
      <c r="H121" s="31">
        <f t="shared" si="5"/>
        <v>6.2307086093287882</v>
      </c>
    </row>
    <row r="122" spans="1:8" x14ac:dyDescent="0.3">
      <c r="A122" s="5">
        <v>1.6180913720000001</v>
      </c>
      <c r="B122" s="11">
        <v>2.0423945620000001</v>
      </c>
      <c r="C122" s="17">
        <v>2.4771197279999999</v>
      </c>
      <c r="D122">
        <v>2.4700000000000002</v>
      </c>
      <c r="F122" s="25">
        <f t="shared" si="3"/>
        <v>2.6182196881408428</v>
      </c>
      <c r="G122" s="29">
        <f t="shared" si="4"/>
        <v>4.1713755468871723</v>
      </c>
      <c r="H122" s="31">
        <f t="shared" si="5"/>
        <v>6.1361221468467937</v>
      </c>
    </row>
    <row r="123" spans="1:8" x14ac:dyDescent="0.3">
      <c r="A123" s="5">
        <v>1.4737388229999999</v>
      </c>
      <c r="B123" s="11">
        <v>1.960433173</v>
      </c>
      <c r="C123" s="17">
        <v>2.473021659</v>
      </c>
      <c r="D123">
        <v>2.4700000000000002</v>
      </c>
      <c r="F123" s="25">
        <f t="shared" si="3"/>
        <v>2.1719061184174251</v>
      </c>
      <c r="G123" s="29">
        <f t="shared" si="4"/>
        <v>3.8432982257988479</v>
      </c>
      <c r="H123" s="31">
        <f t="shared" si="5"/>
        <v>6.1158361258831127</v>
      </c>
    </row>
    <row r="124" spans="1:8" x14ac:dyDescent="0.3">
      <c r="A124" s="5">
        <v>3.70372631</v>
      </c>
      <c r="B124" s="11">
        <v>3.1456446040000001</v>
      </c>
      <c r="C124" s="17">
        <v>2.5322822299999999</v>
      </c>
      <c r="D124">
        <v>2.4700000000000002</v>
      </c>
      <c r="F124" s="25">
        <f t="shared" si="3"/>
        <v>13.717588579386216</v>
      </c>
      <c r="G124" s="29">
        <f t="shared" si="4"/>
        <v>9.8950799746743172</v>
      </c>
      <c r="H124" s="31">
        <f t="shared" si="5"/>
        <v>6.4124532923737725</v>
      </c>
    </row>
    <row r="125" spans="1:8" x14ac:dyDescent="0.3">
      <c r="A125" s="5">
        <v>4.6871852780000003</v>
      </c>
      <c r="B125" s="11">
        <v>4.0336081559999997</v>
      </c>
      <c r="C125" s="17">
        <v>2.5766804080000001</v>
      </c>
      <c r="D125">
        <v>2.4700000000000002</v>
      </c>
      <c r="F125" s="25">
        <f t="shared" si="3"/>
        <v>21.96970583029994</v>
      </c>
      <c r="G125" s="29">
        <f t="shared" si="4"/>
        <v>16.269994756149718</v>
      </c>
      <c r="H125" s="31">
        <f t="shared" si="5"/>
        <v>6.6392819249710469</v>
      </c>
    </row>
    <row r="126" spans="1:8" x14ac:dyDescent="0.3">
      <c r="A126" s="5">
        <v>2.0261238439999998</v>
      </c>
      <c r="B126" s="11">
        <v>2.260153742</v>
      </c>
      <c r="C126" s="17">
        <v>2.4880076870000001</v>
      </c>
      <c r="D126">
        <v>2.4700000000000002</v>
      </c>
      <c r="F126" s="25">
        <f t="shared" si="3"/>
        <v>4.1051778312253351</v>
      </c>
      <c r="G126" s="29">
        <f t="shared" si="4"/>
        <v>5.108294937476602</v>
      </c>
      <c r="H126" s="31">
        <f t="shared" si="5"/>
        <v>6.1901822505710902</v>
      </c>
    </row>
    <row r="127" spans="1:8" x14ac:dyDescent="0.3">
      <c r="A127" s="5">
        <v>1.7168187509999999</v>
      </c>
      <c r="B127" s="11">
        <v>2.096700491</v>
      </c>
      <c r="C127" s="17">
        <v>2.4798350249999999</v>
      </c>
      <c r="D127">
        <v>2.4700000000000002</v>
      </c>
      <c r="F127" s="25">
        <f t="shared" si="3"/>
        <v>2.9474666237851999</v>
      </c>
      <c r="G127" s="29">
        <f t="shared" si="4"/>
        <v>4.3961529489596414</v>
      </c>
      <c r="H127" s="31">
        <f t="shared" si="5"/>
        <v>6.1495817512167497</v>
      </c>
    </row>
    <row r="128" spans="1:8" x14ac:dyDescent="0.3">
      <c r="A128" s="5">
        <v>2.2939237650000002</v>
      </c>
      <c r="B128" s="11">
        <v>2.3965040499999999</v>
      </c>
      <c r="C128" s="17">
        <v>2.494825203</v>
      </c>
      <c r="D128">
        <v>2.4700000000000002</v>
      </c>
      <c r="F128" s="25">
        <f t="shared" si="3"/>
        <v>5.2620862396317758</v>
      </c>
      <c r="G128" s="29">
        <f t="shared" si="4"/>
        <v>5.7432316616664023</v>
      </c>
      <c r="H128" s="31">
        <f t="shared" si="5"/>
        <v>6.2241527935239915</v>
      </c>
    </row>
    <row r="129" spans="1:8" x14ac:dyDescent="0.3">
      <c r="A129" s="5">
        <v>4.796288949</v>
      </c>
      <c r="B129" s="11">
        <v>4.242137101</v>
      </c>
      <c r="C129" s="17">
        <v>2.587106855</v>
      </c>
      <c r="D129">
        <v>2.4700000000000002</v>
      </c>
      <c r="F129" s="25">
        <f t="shared" si="3"/>
        <v>23.004387682299527</v>
      </c>
      <c r="G129" s="29">
        <f t="shared" si="4"/>
        <v>17.995727183680685</v>
      </c>
      <c r="H129" s="31">
        <f t="shared" si="5"/>
        <v>6.6931218791879914</v>
      </c>
    </row>
    <row r="130" spans="1:8" x14ac:dyDescent="0.3">
      <c r="A130" s="5">
        <v>2.5460066530000001</v>
      </c>
      <c r="B130" s="11">
        <v>2.5230659229999999</v>
      </c>
      <c r="C130" s="17">
        <v>2.501153296</v>
      </c>
      <c r="D130">
        <v>2.4700000000000002</v>
      </c>
      <c r="F130" s="25">
        <f t="shared" si="3"/>
        <v>6.4821498771202624</v>
      </c>
      <c r="G130" s="29">
        <f t="shared" si="4"/>
        <v>6.3658616518038409</v>
      </c>
      <c r="H130" s="31">
        <f t="shared" si="5"/>
        <v>6.2557678100916636</v>
      </c>
    </row>
    <row r="131" spans="1:8" x14ac:dyDescent="0.3">
      <c r="A131" s="5">
        <v>2.1567430650000001</v>
      </c>
      <c r="B131" s="11">
        <v>2.3270584460000001</v>
      </c>
      <c r="C131" s="17">
        <v>2.4913529219999999</v>
      </c>
      <c r="D131">
        <v>2.4700000000000002</v>
      </c>
      <c r="F131" s="25">
        <f t="shared" ref="F131:F194" si="6">POWER(A131,2)</f>
        <v>4.6515406484255948</v>
      </c>
      <c r="G131" s="29">
        <f t="shared" ref="G131:G194" si="7">POWER(B131,2)</f>
        <v>5.4152010110999358</v>
      </c>
      <c r="H131" s="31">
        <f t="shared" ref="H131:H194" si="8">POWER(C131,2)</f>
        <v>6.2068393819579377</v>
      </c>
    </row>
    <row r="132" spans="1:8" x14ac:dyDescent="0.3">
      <c r="A132" s="5">
        <v>1.35258034</v>
      </c>
      <c r="B132" s="11">
        <v>1.8887468009999999</v>
      </c>
      <c r="C132" s="17">
        <v>2.4694373399999998</v>
      </c>
      <c r="D132">
        <v>2.4700000000000002</v>
      </c>
      <c r="F132" s="25">
        <f t="shared" si="6"/>
        <v>1.8294735761545158</v>
      </c>
      <c r="G132" s="29">
        <f t="shared" si="7"/>
        <v>3.5673644782877334</v>
      </c>
      <c r="H132" s="31">
        <f t="shared" si="8"/>
        <v>6.098120776186275</v>
      </c>
    </row>
    <row r="133" spans="1:8" x14ac:dyDescent="0.3">
      <c r="A133" s="5">
        <v>2.3535874510000001</v>
      </c>
      <c r="B133" s="11">
        <v>2.4265332919999998</v>
      </c>
      <c r="C133" s="17">
        <v>2.4963266649999998</v>
      </c>
      <c r="D133">
        <v>2.4700000000000002</v>
      </c>
      <c r="F133" s="25">
        <f t="shared" si="6"/>
        <v>5.5393738895046782</v>
      </c>
      <c r="G133" s="29">
        <f t="shared" si="7"/>
        <v>5.8880638171843565</v>
      </c>
      <c r="H133" s="31">
        <f t="shared" si="8"/>
        <v>6.2316468183900211</v>
      </c>
    </row>
    <row r="134" spans="1:8" x14ac:dyDescent="0.3">
      <c r="A134" s="5">
        <v>3.065431684</v>
      </c>
      <c r="B134" s="11">
        <v>2.7873730409999999</v>
      </c>
      <c r="C134" s="17">
        <v>2.5143686519999999</v>
      </c>
      <c r="D134">
        <v>2.4700000000000002</v>
      </c>
      <c r="F134" s="25">
        <f t="shared" si="6"/>
        <v>9.3968714092710766</v>
      </c>
      <c r="G134" s="29">
        <f t="shared" si="7"/>
        <v>7.7694484696935877</v>
      </c>
      <c r="H134" s="31">
        <f t="shared" si="8"/>
        <v>6.3220497181602964</v>
      </c>
    </row>
    <row r="135" spans="1:8" x14ac:dyDescent="0.3">
      <c r="A135" s="5">
        <v>3.8456373789999998</v>
      </c>
      <c r="B135" s="11">
        <v>3.2359767549999998</v>
      </c>
      <c r="C135" s="17">
        <v>2.5367988380000002</v>
      </c>
      <c r="D135">
        <v>2.4700000000000002</v>
      </c>
      <c r="F135" s="25">
        <f t="shared" si="6"/>
        <v>14.788926850761989</v>
      </c>
      <c r="G135" s="29">
        <f t="shared" si="7"/>
        <v>10.471545558900329</v>
      </c>
      <c r="H135" s="31">
        <f t="shared" si="8"/>
        <v>6.4353483444781512</v>
      </c>
    </row>
    <row r="136" spans="1:8" x14ac:dyDescent="0.3">
      <c r="A136" s="5">
        <v>3.0776390880000002</v>
      </c>
      <c r="B136" s="11">
        <v>2.7937554200000001</v>
      </c>
      <c r="C136" s="17">
        <v>2.5146877710000002</v>
      </c>
      <c r="D136">
        <v>2.4700000000000002</v>
      </c>
      <c r="F136" s="25">
        <f t="shared" si="6"/>
        <v>9.4718623559854738</v>
      </c>
      <c r="G136" s="29">
        <f t="shared" si="7"/>
        <v>7.8050693467793772</v>
      </c>
      <c r="H136" s="31">
        <f t="shared" si="8"/>
        <v>6.323654585616949</v>
      </c>
    </row>
    <row r="137" spans="1:8" x14ac:dyDescent="0.3">
      <c r="A137" s="5">
        <v>2.2041993469999999</v>
      </c>
      <c r="B137" s="11">
        <v>2.3511600549999998</v>
      </c>
      <c r="C137" s="17">
        <v>2.4925580030000001</v>
      </c>
      <c r="D137">
        <v>2.4700000000000002</v>
      </c>
      <c r="F137" s="25">
        <f t="shared" si="6"/>
        <v>4.8584947613152254</v>
      </c>
      <c r="G137" s="29">
        <f t="shared" si="7"/>
        <v>5.5279536042276023</v>
      </c>
      <c r="H137" s="31">
        <f t="shared" si="8"/>
        <v>6.2128453983193488</v>
      </c>
    </row>
    <row r="138" spans="1:8" x14ac:dyDescent="0.3">
      <c r="A138" s="5">
        <v>2.2359385970000001</v>
      </c>
      <c r="B138" s="11">
        <v>2.3672296899999998</v>
      </c>
      <c r="C138" s="17">
        <v>2.4933614839999998</v>
      </c>
      <c r="D138">
        <v>2.4700000000000002</v>
      </c>
      <c r="F138" s="25">
        <f t="shared" si="6"/>
        <v>4.999421409554329</v>
      </c>
      <c r="G138" s="29">
        <f t="shared" si="7"/>
        <v>5.603776405217495</v>
      </c>
      <c r="H138" s="31">
        <f t="shared" si="8"/>
        <v>6.2168514898946814</v>
      </c>
    </row>
    <row r="139" spans="1:8" x14ac:dyDescent="0.3">
      <c r="A139" s="5">
        <v>3.7708670309999999</v>
      </c>
      <c r="B139" s="11">
        <v>3.1876814499999999</v>
      </c>
      <c r="C139" s="17">
        <v>2.5343840719999999</v>
      </c>
      <c r="D139">
        <v>2.4700000000000002</v>
      </c>
      <c r="F139" s="25">
        <f t="shared" si="6"/>
        <v>14.219438165482755</v>
      </c>
      <c r="G139" s="29">
        <f t="shared" si="7"/>
        <v>10.161313026674103</v>
      </c>
      <c r="H139" s="31">
        <f t="shared" si="8"/>
        <v>6.4231026244073011</v>
      </c>
    </row>
    <row r="140" spans="1:8" x14ac:dyDescent="0.3">
      <c r="A140" s="5">
        <v>0.18097476100000001</v>
      </c>
      <c r="B140" s="11">
        <v>0.70334323899999995</v>
      </c>
      <c r="C140" s="17">
        <v>2.410167162</v>
      </c>
      <c r="D140">
        <v>2.4700000000000002</v>
      </c>
      <c r="F140" s="25">
        <f t="shared" si="6"/>
        <v>3.2751864119007122E-2</v>
      </c>
      <c r="G140" s="29">
        <f t="shared" si="7"/>
        <v>0.49469171184701105</v>
      </c>
      <c r="H140" s="31">
        <f t="shared" si="8"/>
        <v>5.8089057487831344</v>
      </c>
    </row>
    <row r="141" spans="1:8" x14ac:dyDescent="0.3">
      <c r="A141" s="5">
        <v>2.688070315</v>
      </c>
      <c r="B141" s="11">
        <v>2.5944237399999999</v>
      </c>
      <c r="C141" s="17">
        <v>2.5047211869999999</v>
      </c>
      <c r="D141">
        <v>2.4700000000000002</v>
      </c>
      <c r="F141" s="25">
        <f t="shared" si="6"/>
        <v>7.2257220183841993</v>
      </c>
      <c r="G141" s="29">
        <f t="shared" si="7"/>
        <v>6.7310345426755873</v>
      </c>
      <c r="H141" s="31">
        <f t="shared" si="8"/>
        <v>6.2736282246066883</v>
      </c>
    </row>
    <row r="142" spans="1:8" x14ac:dyDescent="0.3">
      <c r="A142" s="5">
        <v>3.1058687090000001</v>
      </c>
      <c r="B142" s="11">
        <v>2.8085654039999999</v>
      </c>
      <c r="C142" s="17">
        <v>2.5154282700000001</v>
      </c>
      <c r="D142">
        <v>2.4700000000000002</v>
      </c>
      <c r="F142" s="25">
        <f t="shared" si="6"/>
        <v>9.6464204375453271</v>
      </c>
      <c r="G142" s="29">
        <f t="shared" si="7"/>
        <v>7.8880396285456822</v>
      </c>
      <c r="H142" s="31">
        <f t="shared" si="8"/>
        <v>6.3273793815151933</v>
      </c>
    </row>
    <row r="143" spans="1:8" x14ac:dyDescent="0.3">
      <c r="A143" s="5">
        <v>1.081118198</v>
      </c>
      <c r="B143" s="11">
        <v>1.714990112</v>
      </c>
      <c r="C143" s="17">
        <v>2.460749506</v>
      </c>
      <c r="D143">
        <v>2.4700000000000002</v>
      </c>
      <c r="F143" s="25">
        <f t="shared" si="6"/>
        <v>1.1688165580467671</v>
      </c>
      <c r="G143" s="29">
        <f t="shared" si="7"/>
        <v>2.9411910842577722</v>
      </c>
      <c r="H143" s="31">
        <f t="shared" si="8"/>
        <v>6.0552881312792435</v>
      </c>
    </row>
    <row r="144" spans="1:8" x14ac:dyDescent="0.3">
      <c r="A144" s="5">
        <v>2.836390271</v>
      </c>
      <c r="B144" s="11">
        <v>2.6694479580000001</v>
      </c>
      <c r="C144" s="17">
        <v>2.5084723979999999</v>
      </c>
      <c r="D144">
        <v>2.4700000000000002</v>
      </c>
      <c r="F144" s="25">
        <f t="shared" si="6"/>
        <v>8.045109769423453</v>
      </c>
      <c r="G144" s="29">
        <f t="shared" si="7"/>
        <v>7.1259524004703705</v>
      </c>
      <c r="H144" s="31">
        <f t="shared" si="8"/>
        <v>6.29243377152787</v>
      </c>
    </row>
    <row r="145" spans="1:8" x14ac:dyDescent="0.3">
      <c r="A145" s="5">
        <v>2.9267250589999998</v>
      </c>
      <c r="B145" s="11">
        <v>2.7155866240000002</v>
      </c>
      <c r="C145" s="17">
        <v>2.5107793310000002</v>
      </c>
      <c r="D145">
        <v>2.4700000000000002</v>
      </c>
      <c r="F145" s="25">
        <f t="shared" si="6"/>
        <v>8.565719570978553</v>
      </c>
      <c r="G145" s="29">
        <f t="shared" si="7"/>
        <v>7.3744107124477187</v>
      </c>
      <c r="H145" s="31">
        <f t="shared" si="8"/>
        <v>6.3040128489768081</v>
      </c>
    </row>
    <row r="146" spans="1:8" x14ac:dyDescent="0.3">
      <c r="A146" s="5">
        <v>1.8875698110000001</v>
      </c>
      <c r="B146" s="11">
        <v>2.1879830629999999</v>
      </c>
      <c r="C146" s="17">
        <v>2.484399153</v>
      </c>
      <c r="D146">
        <v>2.4700000000000002</v>
      </c>
      <c r="F146" s="25">
        <f t="shared" si="6"/>
        <v>3.562919791398576</v>
      </c>
      <c r="G146" s="29">
        <f t="shared" si="7"/>
        <v>4.7872698839748615</v>
      </c>
      <c r="H146" s="31">
        <f t="shared" si="8"/>
        <v>6.1722391514271173</v>
      </c>
    </row>
    <row r="147" spans="1:8" x14ac:dyDescent="0.3">
      <c r="A147" s="5">
        <v>3.9086581009999999</v>
      </c>
      <c r="B147" s="11">
        <v>3.2780545270000001</v>
      </c>
      <c r="C147" s="17">
        <v>2.5389027259999999</v>
      </c>
      <c r="D147">
        <v>2.4700000000000002</v>
      </c>
      <c r="F147" s="25">
        <f t="shared" si="6"/>
        <v>15.277608150512926</v>
      </c>
      <c r="G147" s="29">
        <f t="shared" si="7"/>
        <v>10.745641481985194</v>
      </c>
      <c r="H147" s="31">
        <f t="shared" si="8"/>
        <v>6.4460270520902307</v>
      </c>
    </row>
    <row r="148" spans="1:8" x14ac:dyDescent="0.3">
      <c r="A148" s="5">
        <v>3.837092196</v>
      </c>
      <c r="B148" s="11">
        <v>3.230371994</v>
      </c>
      <c r="C148" s="17">
        <v>2.5365186</v>
      </c>
      <c r="D148">
        <v>2.4700000000000002</v>
      </c>
      <c r="F148" s="25">
        <f t="shared" si="6"/>
        <v>14.723276520604102</v>
      </c>
      <c r="G148" s="29">
        <f t="shared" si="7"/>
        <v>10.435303219619536</v>
      </c>
      <c r="H148" s="31">
        <f t="shared" si="8"/>
        <v>6.4339266081459598</v>
      </c>
    </row>
    <row r="149" spans="1:8" x14ac:dyDescent="0.3">
      <c r="A149" s="5">
        <v>0.469527268</v>
      </c>
      <c r="B149" s="11">
        <v>1.182915248</v>
      </c>
      <c r="C149" s="17">
        <v>2.434145762</v>
      </c>
      <c r="D149">
        <v>2.4700000000000002</v>
      </c>
      <c r="F149" s="25">
        <f t="shared" si="6"/>
        <v>0.22045585539554383</v>
      </c>
      <c r="G149" s="29">
        <f t="shared" si="7"/>
        <v>1.3992884839509017</v>
      </c>
      <c r="H149" s="31">
        <f t="shared" si="8"/>
        <v>5.9250655906625607</v>
      </c>
    </row>
    <row r="150" spans="1:8" x14ac:dyDescent="0.3">
      <c r="A150" s="5">
        <v>0.64210943899999995</v>
      </c>
      <c r="B150" s="11">
        <v>1.3661170389999999</v>
      </c>
      <c r="C150" s="17">
        <v>2.4433058519999999</v>
      </c>
      <c r="D150">
        <v>2.4700000000000002</v>
      </c>
      <c r="F150" s="25">
        <f t="shared" si="6"/>
        <v>0.41230453165289466</v>
      </c>
      <c r="G150" s="29">
        <f t="shared" si="7"/>
        <v>1.8662757642461274</v>
      </c>
      <c r="H150" s="31">
        <f t="shared" si="8"/>
        <v>5.9697434864174452</v>
      </c>
    </row>
    <row r="151" spans="1:8" x14ac:dyDescent="0.3">
      <c r="A151" s="5">
        <v>4.442732017</v>
      </c>
      <c r="B151" s="11">
        <v>3.7188343129999999</v>
      </c>
      <c r="C151" s="17">
        <v>2.5609417159999999</v>
      </c>
      <c r="D151">
        <v>2.4700000000000002</v>
      </c>
      <c r="F151" s="25">
        <f t="shared" si="6"/>
        <v>19.737867774876889</v>
      </c>
      <c r="G151" s="29">
        <f t="shared" si="7"/>
        <v>13.829728647546181</v>
      </c>
      <c r="H151" s="31">
        <f t="shared" si="8"/>
        <v>6.5584224727490241</v>
      </c>
    </row>
    <row r="152" spans="1:8" x14ac:dyDescent="0.3">
      <c r="A152" s="5">
        <v>4.0002136300000002</v>
      </c>
      <c r="B152" s="11">
        <v>3.341773726</v>
      </c>
      <c r="C152" s="17">
        <v>2.542088686</v>
      </c>
      <c r="D152">
        <v>2.4700000000000002</v>
      </c>
      <c r="F152" s="25">
        <f t="shared" si="6"/>
        <v>16.001709085637778</v>
      </c>
      <c r="G152" s="29">
        <f t="shared" si="7"/>
        <v>11.167451635783923</v>
      </c>
      <c r="H152" s="31">
        <f t="shared" si="8"/>
        <v>6.4622148874892069</v>
      </c>
    </row>
    <row r="153" spans="1:8" x14ac:dyDescent="0.3">
      <c r="A153" s="5">
        <v>3.2093264559999999</v>
      </c>
      <c r="B153" s="11">
        <v>2.8634499990000002</v>
      </c>
      <c r="C153" s="17">
        <v>2.5181724999999999</v>
      </c>
      <c r="D153">
        <v>2.4700000000000002</v>
      </c>
      <c r="F153" s="25">
        <f t="shared" si="6"/>
        <v>10.299776301181518</v>
      </c>
      <c r="G153" s="29">
        <f t="shared" si="7"/>
        <v>8.1993458967731012</v>
      </c>
      <c r="H153" s="31">
        <f t="shared" si="8"/>
        <v>6.3411927397562495</v>
      </c>
    </row>
    <row r="154" spans="1:8" x14ac:dyDescent="0.3">
      <c r="A154" s="5">
        <v>2.159184545</v>
      </c>
      <c r="B154" s="11">
        <v>2.3283010430000002</v>
      </c>
      <c r="C154" s="17">
        <v>2.4914150519999998</v>
      </c>
      <c r="D154">
        <v>2.4700000000000002</v>
      </c>
      <c r="F154" s="25">
        <f t="shared" si="6"/>
        <v>4.6620778993668575</v>
      </c>
      <c r="G154" s="29">
        <f t="shared" si="7"/>
        <v>5.420985746834889</v>
      </c>
      <c r="H154" s="31">
        <f t="shared" si="8"/>
        <v>6.2071489613321615</v>
      </c>
    </row>
    <row r="155" spans="1:8" x14ac:dyDescent="0.3">
      <c r="A155" s="5">
        <v>2.411877804</v>
      </c>
      <c r="B155" s="11">
        <v>2.4558076519999998</v>
      </c>
      <c r="C155" s="17">
        <v>2.4977903829999999</v>
      </c>
      <c r="D155">
        <v>2.4700000000000002</v>
      </c>
      <c r="F155" s="25">
        <f t="shared" si="6"/>
        <v>5.817154541427862</v>
      </c>
      <c r="G155" s="29">
        <f t="shared" si="7"/>
        <v>6.0309912236217524</v>
      </c>
      <c r="H155" s="31">
        <f t="shared" si="8"/>
        <v>6.2389567974072859</v>
      </c>
    </row>
    <row r="156" spans="1:8" x14ac:dyDescent="0.3">
      <c r="A156" s="5">
        <v>2.3458052309999999</v>
      </c>
      <c r="B156" s="11">
        <v>2.422621328</v>
      </c>
      <c r="C156" s="17">
        <v>2.4961310659999998</v>
      </c>
      <c r="D156">
        <v>2.4700000000000002</v>
      </c>
      <c r="F156" s="25">
        <f t="shared" si="6"/>
        <v>5.5028021817869632</v>
      </c>
      <c r="G156" s="29">
        <f t="shared" si="7"/>
        <v>5.8690940988804838</v>
      </c>
      <c r="H156" s="31">
        <f t="shared" si="8"/>
        <v>6.2306702986502955</v>
      </c>
    </row>
    <row r="157" spans="1:8" x14ac:dyDescent="0.3">
      <c r="A157" s="5">
        <v>1.969512009</v>
      </c>
      <c r="B157" s="11">
        <v>2.2308373170000002</v>
      </c>
      <c r="C157" s="17">
        <v>2.486541866</v>
      </c>
      <c r="D157">
        <v>2.4700000000000002</v>
      </c>
      <c r="F157" s="25">
        <f t="shared" si="6"/>
        <v>3.8789775535952162</v>
      </c>
      <c r="G157" s="29">
        <f t="shared" si="7"/>
        <v>4.9766351349197597</v>
      </c>
      <c r="H157" s="31">
        <f t="shared" si="8"/>
        <v>6.1828904513707625</v>
      </c>
    </row>
    <row r="158" spans="1:8" x14ac:dyDescent="0.3">
      <c r="A158" s="5">
        <v>2.8173162020000002</v>
      </c>
      <c r="B158" s="11">
        <v>2.6597550179999998</v>
      </c>
      <c r="C158" s="17">
        <v>2.5079877509999999</v>
      </c>
      <c r="D158">
        <v>2.4700000000000002</v>
      </c>
      <c r="F158" s="25">
        <f t="shared" si="6"/>
        <v>7.9372705820517062</v>
      </c>
      <c r="G158" s="29">
        <f t="shared" si="7"/>
        <v>7.0742967557761789</v>
      </c>
      <c r="H158" s="31">
        <f t="shared" si="8"/>
        <v>6.2900025591660373</v>
      </c>
    </row>
    <row r="159" spans="1:8" x14ac:dyDescent="0.3">
      <c r="A159" s="5">
        <v>4.6305734430000003</v>
      </c>
      <c r="B159" s="11">
        <v>3.9474517229999999</v>
      </c>
      <c r="C159" s="17">
        <v>2.5723725860000002</v>
      </c>
      <c r="D159">
        <v>2.4700000000000002</v>
      </c>
      <c r="F159" s="25">
        <f t="shared" si="6"/>
        <v>21.442210411016877</v>
      </c>
      <c r="G159" s="29">
        <f t="shared" si="7"/>
        <v>15.582375105415668</v>
      </c>
      <c r="H159" s="31">
        <f t="shared" si="8"/>
        <v>6.617100721204328</v>
      </c>
    </row>
    <row r="160" spans="1:8" x14ac:dyDescent="0.3">
      <c r="A160" s="5">
        <v>3.0816064939999999</v>
      </c>
      <c r="B160" s="11">
        <v>2.7958336149999998</v>
      </c>
      <c r="C160" s="17">
        <v>2.5147916810000002</v>
      </c>
      <c r="D160">
        <v>2.4700000000000002</v>
      </c>
      <c r="F160" s="25">
        <f t="shared" si="6"/>
        <v>9.4962985838629717</v>
      </c>
      <c r="G160" s="29">
        <f t="shared" si="7"/>
        <v>7.8166856027639673</v>
      </c>
      <c r="H160" s="31">
        <f t="shared" si="8"/>
        <v>6.3241771988268063</v>
      </c>
    </row>
    <row r="161" spans="1:8" x14ac:dyDescent="0.3">
      <c r="A161" s="5">
        <v>2.6743369850000001</v>
      </c>
      <c r="B161" s="11">
        <v>2.5875115800000001</v>
      </c>
      <c r="C161" s="17">
        <v>2.504375579</v>
      </c>
      <c r="D161">
        <v>2.4700000000000002</v>
      </c>
      <c r="F161" s="25">
        <f t="shared" si="6"/>
        <v>7.1520783093388909</v>
      </c>
      <c r="G161" s="29">
        <f t="shared" si="7"/>
        <v>6.695216176634097</v>
      </c>
      <c r="H161" s="31">
        <f t="shared" si="8"/>
        <v>6.2718970406915853</v>
      </c>
    </row>
    <row r="162" spans="1:8" x14ac:dyDescent="0.3">
      <c r="A162" s="5">
        <v>1.7026276440000001</v>
      </c>
      <c r="B162" s="11">
        <v>2.0889697859999998</v>
      </c>
      <c r="C162" s="17">
        <v>2.4794484890000001</v>
      </c>
      <c r="D162">
        <v>2.4700000000000002</v>
      </c>
      <c r="F162" s="25">
        <f t="shared" si="6"/>
        <v>2.8989408941129913</v>
      </c>
      <c r="G162" s="29">
        <f t="shared" si="7"/>
        <v>4.3637947668208854</v>
      </c>
      <c r="H162" s="31">
        <f t="shared" si="8"/>
        <v>6.1476648096043842</v>
      </c>
    </row>
    <row r="163" spans="1:8" x14ac:dyDescent="0.3">
      <c r="A163" s="5">
        <v>0.766014588</v>
      </c>
      <c r="B163" s="11">
        <v>1.477207269</v>
      </c>
      <c r="C163" s="17">
        <v>2.4488603630000001</v>
      </c>
      <c r="D163">
        <v>2.4700000000000002</v>
      </c>
      <c r="F163" s="25">
        <f t="shared" si="6"/>
        <v>0.58677834902880976</v>
      </c>
      <c r="G163" s="29">
        <f t="shared" si="7"/>
        <v>2.1821413155864384</v>
      </c>
      <c r="H163" s="31">
        <f t="shared" si="8"/>
        <v>5.9969170774724923</v>
      </c>
    </row>
    <row r="164" spans="1:8" x14ac:dyDescent="0.3">
      <c r="A164" s="5">
        <v>3.926969207</v>
      </c>
      <c r="B164" s="11">
        <v>3.2905396159999998</v>
      </c>
      <c r="C164" s="17">
        <v>2.5395269809999999</v>
      </c>
      <c r="D164">
        <v>2.4700000000000002</v>
      </c>
      <c r="F164" s="25">
        <f t="shared" si="6"/>
        <v>15.421087152726209</v>
      </c>
      <c r="G164" s="29">
        <f t="shared" si="7"/>
        <v>10.827650964465427</v>
      </c>
      <c r="H164" s="31">
        <f t="shared" si="8"/>
        <v>6.4491972872269736</v>
      </c>
    </row>
    <row r="165" spans="1:8" x14ac:dyDescent="0.3">
      <c r="A165" s="5">
        <v>4.5023957030000004</v>
      </c>
      <c r="B165" s="11">
        <v>3.7842883729999999</v>
      </c>
      <c r="C165" s="17">
        <v>2.5642144189999998</v>
      </c>
      <c r="D165">
        <v>2.4700000000000002</v>
      </c>
      <c r="F165" s="25">
        <f t="shared" si="6"/>
        <v>20.271567066392869</v>
      </c>
      <c r="G165" s="29">
        <f t="shared" si="7"/>
        <v>14.320838490022986</v>
      </c>
      <c r="H165" s="31">
        <f t="shared" si="8"/>
        <v>6.5751955866075065</v>
      </c>
    </row>
    <row r="166" spans="1:8" x14ac:dyDescent="0.3">
      <c r="A166" s="5">
        <v>1.769768365</v>
      </c>
      <c r="B166" s="11">
        <v>2.1253313839999999</v>
      </c>
      <c r="C166" s="17">
        <v>2.4812665690000002</v>
      </c>
      <c r="D166">
        <v>2.4700000000000002</v>
      </c>
      <c r="F166" s="25">
        <f t="shared" si="6"/>
        <v>3.1320800657547734</v>
      </c>
      <c r="G166" s="29">
        <f t="shared" si="7"/>
        <v>4.5170334918153552</v>
      </c>
      <c r="H166" s="31">
        <f t="shared" si="8"/>
        <v>6.156683786437033</v>
      </c>
    </row>
    <row r="167" spans="1:8" x14ac:dyDescent="0.3">
      <c r="A167" s="5">
        <v>2.9828791159999999</v>
      </c>
      <c r="B167" s="11">
        <v>2.7444937760000001</v>
      </c>
      <c r="C167" s="17">
        <v>2.512224689</v>
      </c>
      <c r="D167">
        <v>2.4700000000000002</v>
      </c>
      <c r="F167" s="25">
        <f t="shared" si="6"/>
        <v>8.8975678206689413</v>
      </c>
      <c r="G167" s="29">
        <f t="shared" si="7"/>
        <v>7.532246086502739</v>
      </c>
      <c r="H167" s="31">
        <f t="shared" si="8"/>
        <v>6.3112728880211462</v>
      </c>
    </row>
    <row r="168" spans="1:8" x14ac:dyDescent="0.3">
      <c r="A168" s="5">
        <v>2.8046510210000002</v>
      </c>
      <c r="B168" s="11">
        <v>2.6533283010000002</v>
      </c>
      <c r="C168" s="17">
        <v>2.5076664150000001</v>
      </c>
      <c r="D168">
        <v>2.4700000000000002</v>
      </c>
      <c r="F168" s="25">
        <f t="shared" si="6"/>
        <v>7.8660673495963431</v>
      </c>
      <c r="G168" s="29">
        <f t="shared" si="7"/>
        <v>7.0401510728875474</v>
      </c>
      <c r="H168" s="31">
        <f t="shared" si="8"/>
        <v>6.2883908489189526</v>
      </c>
    </row>
    <row r="169" spans="1:8" x14ac:dyDescent="0.3">
      <c r="A169" s="5">
        <v>2.9348124640000002</v>
      </c>
      <c r="B169" s="11">
        <v>2.719738467</v>
      </c>
      <c r="C169" s="17">
        <v>2.5109869229999999</v>
      </c>
      <c r="D169">
        <v>2.4700000000000002</v>
      </c>
      <c r="F169" s="25">
        <f t="shared" si="6"/>
        <v>8.6131241988497518</v>
      </c>
      <c r="G169" s="29">
        <f t="shared" si="7"/>
        <v>7.39697732887951</v>
      </c>
      <c r="H169" s="31">
        <f t="shared" si="8"/>
        <v>6.3050553274770076</v>
      </c>
    </row>
    <row r="170" spans="1:8" x14ac:dyDescent="0.3">
      <c r="A170" s="5">
        <v>1.323892941</v>
      </c>
      <c r="B170" s="11">
        <v>1.871318609</v>
      </c>
      <c r="C170" s="17">
        <v>2.46856593</v>
      </c>
      <c r="D170">
        <v>2.4700000000000002</v>
      </c>
      <c r="F170" s="25">
        <f t="shared" si="6"/>
        <v>1.7526925192296294</v>
      </c>
      <c r="G170" s="29">
        <f t="shared" si="7"/>
        <v>3.5018333363896952</v>
      </c>
      <c r="H170" s="31">
        <f t="shared" si="8"/>
        <v>6.0938177507567648</v>
      </c>
    </row>
    <row r="171" spans="1:8" x14ac:dyDescent="0.3">
      <c r="A171" s="5">
        <v>4.6200445569999999</v>
      </c>
      <c r="B171" s="11">
        <v>3.932563295</v>
      </c>
      <c r="C171" s="17">
        <v>2.5716281649999999</v>
      </c>
      <c r="D171">
        <v>2.4700000000000002</v>
      </c>
      <c r="F171" s="25">
        <f t="shared" si="6"/>
        <v>21.344811708665326</v>
      </c>
      <c r="G171" s="29">
        <f t="shared" si="7"/>
        <v>15.465054069181257</v>
      </c>
      <c r="H171" s="31">
        <f t="shared" si="8"/>
        <v>6.6132714190212667</v>
      </c>
    </row>
    <row r="172" spans="1:8" x14ac:dyDescent="0.3">
      <c r="A172" s="5">
        <v>2.4349192789999998</v>
      </c>
      <c r="B172" s="11">
        <v>2.4673673300000001</v>
      </c>
      <c r="C172" s="17">
        <v>2.4983683669999999</v>
      </c>
      <c r="D172">
        <v>2.4700000000000002</v>
      </c>
      <c r="F172" s="25">
        <f t="shared" si="6"/>
        <v>5.9288318952458789</v>
      </c>
      <c r="G172" s="29">
        <f t="shared" si="7"/>
        <v>6.0879015411513295</v>
      </c>
      <c r="H172" s="31">
        <f t="shared" si="8"/>
        <v>6.2418444972262463</v>
      </c>
    </row>
    <row r="173" spans="1:8" x14ac:dyDescent="0.3">
      <c r="A173" s="5">
        <v>4.1015350809999997</v>
      </c>
      <c r="B173" s="11">
        <v>3.4165364650000001</v>
      </c>
      <c r="C173" s="17">
        <v>2.5458268230000001</v>
      </c>
      <c r="D173">
        <v>2.4700000000000002</v>
      </c>
      <c r="F173" s="25">
        <f t="shared" si="6"/>
        <v>16.822590020673676</v>
      </c>
      <c r="G173" s="29">
        <f t="shared" si="7"/>
        <v>11.672721416674698</v>
      </c>
      <c r="H173" s="31">
        <f t="shared" si="8"/>
        <v>6.4812342127062736</v>
      </c>
    </row>
    <row r="174" spans="1:8" x14ac:dyDescent="0.3">
      <c r="A174" s="5">
        <v>1.6067995239999999</v>
      </c>
      <c r="B174" s="11">
        <v>2.0361008589999998</v>
      </c>
      <c r="C174" s="17">
        <v>2.4768050430000002</v>
      </c>
      <c r="D174">
        <v>2.4700000000000002</v>
      </c>
      <c r="F174" s="25">
        <f t="shared" si="6"/>
        <v>2.5818047103266264</v>
      </c>
      <c r="G174" s="29">
        <f t="shared" si="7"/>
        <v>4.145706708020537</v>
      </c>
      <c r="H174" s="31">
        <f t="shared" si="8"/>
        <v>6.1345632210302323</v>
      </c>
    </row>
    <row r="175" spans="1:8" x14ac:dyDescent="0.3">
      <c r="A175" s="5">
        <v>0.55742057599999995</v>
      </c>
      <c r="B175" s="11">
        <v>1.281327122</v>
      </c>
      <c r="C175" s="17">
        <v>2.4390663560000001</v>
      </c>
      <c r="D175">
        <v>2.4700000000000002</v>
      </c>
      <c r="F175" s="25">
        <f t="shared" si="6"/>
        <v>0.31071769854817172</v>
      </c>
      <c r="G175" s="29">
        <f t="shared" si="7"/>
        <v>1.6417991935728029</v>
      </c>
      <c r="H175" s="31">
        <f t="shared" si="8"/>
        <v>5.949044688971119</v>
      </c>
    </row>
    <row r="176" spans="1:8" x14ac:dyDescent="0.3">
      <c r="A176" s="5">
        <v>4.8590044859999999</v>
      </c>
      <c r="B176" s="11">
        <v>4.4079470799999996</v>
      </c>
      <c r="C176" s="17">
        <v>2.5953973540000002</v>
      </c>
      <c r="D176">
        <v>2.4700000000000002</v>
      </c>
      <c r="F176" s="25">
        <f t="shared" si="6"/>
        <v>23.609924594968124</v>
      </c>
      <c r="G176" s="29">
        <f t="shared" si="7"/>
        <v>19.429997460080521</v>
      </c>
      <c r="H176" s="31">
        <f t="shared" si="8"/>
        <v>6.7360874251502025</v>
      </c>
    </row>
    <row r="177" spans="1:8" x14ac:dyDescent="0.3">
      <c r="A177" s="5">
        <v>4.3322550130000002</v>
      </c>
      <c r="B177" s="11">
        <v>3.6097699830000001</v>
      </c>
      <c r="C177" s="17">
        <v>2.555488499</v>
      </c>
      <c r="D177">
        <v>2.4700000000000002</v>
      </c>
      <c r="F177" s="25">
        <f t="shared" si="6"/>
        <v>18.768433497663633</v>
      </c>
      <c r="G177" s="29">
        <f t="shared" si="7"/>
        <v>13.030439330167821</v>
      </c>
      <c r="H177" s="31">
        <f t="shared" si="8"/>
        <v>6.5305214685212727</v>
      </c>
    </row>
    <row r="178" spans="1:8" x14ac:dyDescent="0.3">
      <c r="A178" s="5">
        <v>3.7681203650000001</v>
      </c>
      <c r="B178" s="11">
        <v>3.1859386299999999</v>
      </c>
      <c r="C178" s="17">
        <v>2.5342969320000002</v>
      </c>
      <c r="D178">
        <v>2.4700000000000002</v>
      </c>
      <c r="F178" s="25">
        <f t="shared" si="6"/>
        <v>14.198731085127735</v>
      </c>
      <c r="G178" s="29">
        <f t="shared" si="7"/>
        <v>10.150204954126275</v>
      </c>
      <c r="H178" s="31">
        <f t="shared" si="8"/>
        <v>6.4226609395446133</v>
      </c>
    </row>
    <row r="179" spans="1:8" x14ac:dyDescent="0.3">
      <c r="A179" s="5">
        <v>4.4299142429999998</v>
      </c>
      <c r="B179" s="11">
        <v>3.7054397300000002</v>
      </c>
      <c r="C179" s="17">
        <v>2.5602719870000001</v>
      </c>
      <c r="D179">
        <v>2.4700000000000002</v>
      </c>
      <c r="F179" s="25">
        <f t="shared" si="6"/>
        <v>19.62414020033426</v>
      </c>
      <c r="G179" s="29">
        <f t="shared" si="7"/>
        <v>13.730283592662474</v>
      </c>
      <c r="H179" s="31">
        <f t="shared" si="8"/>
        <v>6.5549926474169284</v>
      </c>
    </row>
    <row r="180" spans="1:8" x14ac:dyDescent="0.3">
      <c r="A180" s="5">
        <v>0.42649617000000001</v>
      </c>
      <c r="B180" s="11">
        <v>1.129716629</v>
      </c>
      <c r="C180" s="17">
        <v>2.4314858309999998</v>
      </c>
      <c r="D180">
        <v>2.4700000000000002</v>
      </c>
      <c r="F180" s="25">
        <f t="shared" si="6"/>
        <v>0.18189898302466892</v>
      </c>
      <c r="G180" s="29">
        <f t="shared" si="7"/>
        <v>1.2762596618391238</v>
      </c>
      <c r="H180" s="31">
        <f t="shared" si="8"/>
        <v>5.9121233463537592</v>
      </c>
    </row>
    <row r="181" spans="1:8" x14ac:dyDescent="0.3">
      <c r="A181" s="5">
        <v>1.3197729419999999</v>
      </c>
      <c r="B181" s="11">
        <v>1.868799308</v>
      </c>
      <c r="C181" s="17">
        <v>2.468439965</v>
      </c>
      <c r="D181">
        <v>2.4700000000000002</v>
      </c>
      <c r="F181" s="25">
        <f t="shared" si="6"/>
        <v>1.7418006184353352</v>
      </c>
      <c r="G181" s="29">
        <f t="shared" si="7"/>
        <v>3.492410853581279</v>
      </c>
      <c r="H181" s="31">
        <f t="shared" si="8"/>
        <v>6.0931958608092014</v>
      </c>
    </row>
    <row r="182" spans="1:8" x14ac:dyDescent="0.3">
      <c r="A182" s="5">
        <v>1.001312296</v>
      </c>
      <c r="B182" s="11">
        <v>1.6593153940000001</v>
      </c>
      <c r="C182" s="17">
        <v>2.4579657699999999</v>
      </c>
      <c r="D182">
        <v>2.4700000000000002</v>
      </c>
      <c r="F182" s="25">
        <f t="shared" si="6"/>
        <v>1.0026263141207916</v>
      </c>
      <c r="G182" s="29">
        <f t="shared" si="7"/>
        <v>2.7533275767653755</v>
      </c>
      <c r="H182" s="31">
        <f t="shared" si="8"/>
        <v>6.0415957264916926</v>
      </c>
    </row>
    <row r="183" spans="1:8" x14ac:dyDescent="0.3">
      <c r="A183" s="5">
        <v>0.339213233</v>
      </c>
      <c r="B183" s="11">
        <v>1.007946657</v>
      </c>
      <c r="C183" s="17">
        <v>2.4253973329999998</v>
      </c>
      <c r="D183">
        <v>2.4700000000000002</v>
      </c>
      <c r="F183" s="25">
        <f t="shared" si="6"/>
        <v>0.11506561744231229</v>
      </c>
      <c r="G183" s="29">
        <f t="shared" si="7"/>
        <v>1.0159564633574756</v>
      </c>
      <c r="H183" s="31">
        <f t="shared" si="8"/>
        <v>5.8825522229235121</v>
      </c>
    </row>
    <row r="184" spans="1:8" x14ac:dyDescent="0.3">
      <c r="A184" s="5">
        <v>3.2782982879999998</v>
      </c>
      <c r="B184" s="11">
        <v>2.9006460590000001</v>
      </c>
      <c r="C184" s="17">
        <v>2.5200323029999998</v>
      </c>
      <c r="D184">
        <v>2.4700000000000002</v>
      </c>
      <c r="F184" s="25">
        <f t="shared" si="6"/>
        <v>10.747239665103729</v>
      </c>
      <c r="G184" s="29">
        <f t="shared" si="7"/>
        <v>8.4137475595922311</v>
      </c>
      <c r="H184" s="31">
        <f t="shared" si="8"/>
        <v>6.3505628081634828</v>
      </c>
    </row>
    <row r="185" spans="1:8" x14ac:dyDescent="0.3">
      <c r="A185" s="5">
        <v>0.799890133</v>
      </c>
      <c r="B185" s="11">
        <v>1.505451627</v>
      </c>
      <c r="C185" s="17">
        <v>2.4502725810000001</v>
      </c>
      <c r="D185">
        <v>2.4700000000000002</v>
      </c>
      <c r="F185" s="25">
        <f t="shared" si="6"/>
        <v>0.63982422487075774</v>
      </c>
      <c r="G185" s="29">
        <f t="shared" si="7"/>
        <v>2.2663846012369473</v>
      </c>
      <c r="H185" s="31">
        <f t="shared" si="8"/>
        <v>6.0038357212004021</v>
      </c>
    </row>
    <row r="186" spans="1:8" x14ac:dyDescent="0.3">
      <c r="A186" s="5">
        <v>4.1291543319999997</v>
      </c>
      <c r="B186" s="11">
        <v>3.4378163669999999</v>
      </c>
      <c r="C186" s="17">
        <v>2.5468908180000001</v>
      </c>
      <c r="D186">
        <v>2.4700000000000002</v>
      </c>
      <c r="F186" s="25">
        <f t="shared" si="6"/>
        <v>17.049915497474363</v>
      </c>
      <c r="G186" s="29">
        <f t="shared" si="7"/>
        <v>11.818581373213078</v>
      </c>
      <c r="H186" s="31">
        <f t="shared" si="8"/>
        <v>6.4866528388127094</v>
      </c>
    </row>
    <row r="187" spans="1:8" x14ac:dyDescent="0.3">
      <c r="A187" s="5">
        <v>4.2294076360000004</v>
      </c>
      <c r="B187" s="11">
        <v>3.5189296520000002</v>
      </c>
      <c r="C187" s="17">
        <v>2.5509464830000002</v>
      </c>
      <c r="D187">
        <v>2.4700000000000002</v>
      </c>
      <c r="F187" s="25">
        <f t="shared" si="6"/>
        <v>17.88788895145511</v>
      </c>
      <c r="G187" s="29">
        <f t="shared" si="7"/>
        <v>12.382865895724843</v>
      </c>
      <c r="H187" s="31">
        <f t="shared" si="8"/>
        <v>6.5073279591300697</v>
      </c>
    </row>
    <row r="188" spans="1:8" x14ac:dyDescent="0.3">
      <c r="A188" s="5">
        <v>2.851496933</v>
      </c>
      <c r="B188" s="11">
        <v>2.6771365989999998</v>
      </c>
      <c r="C188" s="17">
        <v>2.50885683</v>
      </c>
      <c r="D188">
        <v>2.4700000000000002</v>
      </c>
      <c r="F188" s="25">
        <f t="shared" si="6"/>
        <v>8.131034758908406</v>
      </c>
      <c r="G188" s="29">
        <f t="shared" si="7"/>
        <v>7.1670603697052853</v>
      </c>
      <c r="H188" s="31">
        <f t="shared" si="8"/>
        <v>6.2943625934376488</v>
      </c>
    </row>
    <row r="189" spans="1:8" x14ac:dyDescent="0.3">
      <c r="A189" s="5">
        <v>0.15564439799999999</v>
      </c>
      <c r="B189" s="11">
        <v>0.63554495600000005</v>
      </c>
      <c r="C189" s="17">
        <v>2.406777248</v>
      </c>
      <c r="D189">
        <v>2.4700000000000002</v>
      </c>
      <c r="F189" s="25">
        <f t="shared" si="6"/>
        <v>2.4225178628782401E-2</v>
      </c>
      <c r="G189" s="29">
        <f t="shared" si="7"/>
        <v>0.403917391097042</v>
      </c>
      <c r="H189" s="31">
        <f t="shared" si="8"/>
        <v>5.7925767214904536</v>
      </c>
    </row>
    <row r="190" spans="1:8" x14ac:dyDescent="0.3">
      <c r="A190" s="5">
        <v>1.4149906919999999</v>
      </c>
      <c r="B190" s="11">
        <v>1.9260429050000001</v>
      </c>
      <c r="C190" s="17">
        <v>2.4713021450000001</v>
      </c>
      <c r="D190">
        <v>2.4700000000000002</v>
      </c>
      <c r="F190" s="25">
        <f t="shared" si="6"/>
        <v>2.0021986584466389</v>
      </c>
      <c r="G190" s="29">
        <f t="shared" si="7"/>
        <v>3.7096412719008391</v>
      </c>
      <c r="H190" s="31">
        <f t="shared" si="8"/>
        <v>6.1073342918816014</v>
      </c>
    </row>
    <row r="191" spans="1:8" x14ac:dyDescent="0.3">
      <c r="A191" s="5">
        <v>2.5719473860000002</v>
      </c>
      <c r="B191" s="11">
        <v>2.5360773810000001</v>
      </c>
      <c r="C191" s="17">
        <v>2.5018038690000002</v>
      </c>
      <c r="D191">
        <v>2.4700000000000002</v>
      </c>
      <c r="F191" s="25">
        <f t="shared" si="6"/>
        <v>6.6149133563522335</v>
      </c>
      <c r="G191" s="29">
        <f t="shared" si="7"/>
        <v>6.4316884824198199</v>
      </c>
      <c r="H191" s="31">
        <f t="shared" si="8"/>
        <v>6.2590225989433703</v>
      </c>
    </row>
    <row r="192" spans="1:8" x14ac:dyDescent="0.3">
      <c r="A192" s="5">
        <v>3.4449293499999998</v>
      </c>
      <c r="B192" s="11">
        <v>2.9929779609999998</v>
      </c>
      <c r="C192" s="17">
        <v>2.5246488980000001</v>
      </c>
      <c r="D192">
        <v>2.4700000000000002</v>
      </c>
      <c r="F192" s="25">
        <f t="shared" si="6"/>
        <v>11.867538226491421</v>
      </c>
      <c r="G192" s="29">
        <f t="shared" si="7"/>
        <v>8.9579170750317161</v>
      </c>
      <c r="H192" s="31">
        <f t="shared" si="8"/>
        <v>6.3738520581726155</v>
      </c>
    </row>
    <row r="193" spans="1:8" x14ac:dyDescent="0.3">
      <c r="A193" s="5">
        <v>2.851649525</v>
      </c>
      <c r="B193" s="11">
        <v>2.677213906</v>
      </c>
      <c r="C193" s="17">
        <v>2.5088606950000001</v>
      </c>
      <c r="D193">
        <v>2.4700000000000002</v>
      </c>
      <c r="F193" s="25">
        <f t="shared" si="6"/>
        <v>8.1319050134327249</v>
      </c>
      <c r="G193" s="29">
        <f t="shared" si="7"/>
        <v>7.1674742984797764</v>
      </c>
      <c r="H193" s="31">
        <f t="shared" si="8"/>
        <v>6.2943819869158837</v>
      </c>
    </row>
    <row r="194" spans="1:8" x14ac:dyDescent="0.3">
      <c r="A194" s="5">
        <v>0.88595232999999995</v>
      </c>
      <c r="B194" s="11">
        <v>1.5738751879999999</v>
      </c>
      <c r="C194" s="17">
        <v>2.4536937590000001</v>
      </c>
      <c r="D194">
        <v>2.4700000000000002</v>
      </c>
      <c r="F194" s="25">
        <f t="shared" si="6"/>
        <v>0.78491153103242883</v>
      </c>
      <c r="G194" s="29">
        <f t="shared" si="7"/>
        <v>2.4770831074020352</v>
      </c>
      <c r="H194" s="31">
        <f t="shared" si="8"/>
        <v>6.0206130629555501</v>
      </c>
    </row>
    <row r="195" spans="1:8" x14ac:dyDescent="0.3">
      <c r="A195" s="5">
        <v>3.5242774739999998</v>
      </c>
      <c r="B195" s="11">
        <v>3.0384174530000001</v>
      </c>
      <c r="C195" s="17">
        <v>2.5269208729999999</v>
      </c>
      <c r="D195">
        <v>2.4700000000000002</v>
      </c>
      <c r="F195" s="25">
        <f t="shared" ref="F195:F258" si="9">POWER(A195,2)</f>
        <v>12.42053171374382</v>
      </c>
      <c r="G195" s="29">
        <f t="shared" ref="G195:G258" si="10">POWER(B195,2)</f>
        <v>9.2319806186950082</v>
      </c>
      <c r="H195" s="31">
        <f t="shared" ref="H195:H258" si="11">POWER(C195,2)</f>
        <v>6.3853290984030817</v>
      </c>
    </row>
    <row r="196" spans="1:8" x14ac:dyDescent="0.3">
      <c r="A196" s="5">
        <v>1.3690603349999999</v>
      </c>
      <c r="B196" s="11">
        <v>1.898676209</v>
      </c>
      <c r="C196" s="17">
        <v>2.4699338100000001</v>
      </c>
      <c r="D196">
        <v>2.4700000000000002</v>
      </c>
      <c r="F196" s="25">
        <f t="shared" si="9"/>
        <v>1.8743262008703119</v>
      </c>
      <c r="G196" s="29">
        <f t="shared" si="10"/>
        <v>3.6049713466226119</v>
      </c>
      <c r="H196" s="31">
        <f t="shared" si="11"/>
        <v>6.1005730257811166</v>
      </c>
    </row>
    <row r="197" spans="1:8" x14ac:dyDescent="0.3">
      <c r="A197" s="5">
        <v>0.10391552499999999</v>
      </c>
      <c r="B197" s="11">
        <v>0.46216798100000001</v>
      </c>
      <c r="C197" s="17">
        <v>2.3981083989999998</v>
      </c>
      <c r="D197">
        <v>2.4700000000000002</v>
      </c>
      <c r="F197" s="25">
        <f t="shared" si="9"/>
        <v>1.0798436336025624E-2</v>
      </c>
      <c r="G197" s="29">
        <f t="shared" si="10"/>
        <v>0.21359924266161637</v>
      </c>
      <c r="H197" s="31">
        <f t="shared" si="11"/>
        <v>5.7509238933543427</v>
      </c>
    </row>
    <row r="198" spans="1:8" x14ac:dyDescent="0.3">
      <c r="A198" s="5">
        <v>0.94592120099999999</v>
      </c>
      <c r="B198" s="11">
        <v>1.61909299</v>
      </c>
      <c r="C198" s="17">
        <v>2.4559546499999998</v>
      </c>
      <c r="D198">
        <v>2.4700000000000002</v>
      </c>
      <c r="F198" s="25">
        <f t="shared" si="9"/>
        <v>0.89476691850128243</v>
      </c>
      <c r="G198" s="29">
        <f t="shared" si="10"/>
        <v>2.62146211026714</v>
      </c>
      <c r="H198" s="31">
        <f t="shared" si="11"/>
        <v>6.0317132428566218</v>
      </c>
    </row>
    <row r="199" spans="1:8" x14ac:dyDescent="0.3">
      <c r="A199" s="5">
        <v>3.2149723809999999</v>
      </c>
      <c r="B199" s="11">
        <v>2.8664740690000001</v>
      </c>
      <c r="C199" s="17">
        <v>2.5183237030000001</v>
      </c>
      <c r="D199">
        <v>2.4700000000000002</v>
      </c>
      <c r="F199" s="25">
        <f t="shared" si="9"/>
        <v>10.336047410592808</v>
      </c>
      <c r="G199" s="29">
        <f t="shared" si="10"/>
        <v>8.2166735882494173</v>
      </c>
      <c r="H199" s="31">
        <f t="shared" si="11"/>
        <v>6.3419542730916323</v>
      </c>
    </row>
    <row r="200" spans="1:8" x14ac:dyDescent="0.3">
      <c r="A200" s="5">
        <v>1.7180394910000001</v>
      </c>
      <c r="B200" s="11">
        <v>2.0973632850000001</v>
      </c>
      <c r="C200" s="17">
        <v>2.479868164</v>
      </c>
      <c r="D200">
        <v>2.4700000000000002</v>
      </c>
      <c r="F200" s="25">
        <f t="shared" si="9"/>
        <v>2.9516596926355394</v>
      </c>
      <c r="G200" s="29">
        <f t="shared" si="10"/>
        <v>4.3989327492659918</v>
      </c>
      <c r="H200" s="31">
        <f t="shared" si="11"/>
        <v>6.1497461108207307</v>
      </c>
    </row>
    <row r="201" spans="1:8" x14ac:dyDescent="0.3">
      <c r="A201" s="5">
        <v>3.6944181650000001</v>
      </c>
      <c r="B201" s="11">
        <v>3.1399068300000001</v>
      </c>
      <c r="C201" s="17">
        <v>2.531995341</v>
      </c>
      <c r="D201">
        <v>2.4700000000000002</v>
      </c>
      <c r="F201" s="25">
        <f t="shared" si="9"/>
        <v>13.648725577881969</v>
      </c>
      <c r="G201" s="29">
        <f t="shared" si="10"/>
        <v>9.8590149010806503</v>
      </c>
      <c r="H201" s="31">
        <f t="shared" si="11"/>
        <v>6.411000406845706</v>
      </c>
    </row>
    <row r="202" spans="1:8" x14ac:dyDescent="0.3">
      <c r="A202" s="5">
        <v>2.561723685</v>
      </c>
      <c r="B202" s="11">
        <v>2.5309478310000002</v>
      </c>
      <c r="C202" s="17">
        <v>2.501547392</v>
      </c>
      <c r="D202">
        <v>2.4700000000000002</v>
      </c>
      <c r="F202" s="25">
        <f t="shared" si="9"/>
        <v>6.5624282382899795</v>
      </c>
      <c r="G202" s="29">
        <f t="shared" si="10"/>
        <v>6.4056969232436058</v>
      </c>
      <c r="H202" s="31">
        <f t="shared" si="11"/>
        <v>6.2577393544220019</v>
      </c>
    </row>
    <row r="203" spans="1:8" x14ac:dyDescent="0.3">
      <c r="A203" s="5">
        <v>2.3110141300000002</v>
      </c>
      <c r="B203" s="11">
        <v>2.4051146920000002</v>
      </c>
      <c r="C203" s="17">
        <v>2.4952557350000002</v>
      </c>
      <c r="D203">
        <v>2.4700000000000002</v>
      </c>
      <c r="F203" s="25">
        <f t="shared" si="9"/>
        <v>5.3407863090596583</v>
      </c>
      <c r="G203" s="29">
        <f t="shared" si="10"/>
        <v>5.7845766816742561</v>
      </c>
      <c r="H203" s="31">
        <f t="shared" si="11"/>
        <v>6.2263011830503912</v>
      </c>
    </row>
    <row r="204" spans="1:8" x14ac:dyDescent="0.3">
      <c r="A204" s="5">
        <v>4.2896816920000003</v>
      </c>
      <c r="B204" s="11">
        <v>3.5710937199999999</v>
      </c>
      <c r="C204" s="17">
        <v>2.553554686</v>
      </c>
      <c r="D204">
        <v>2.4700000000000002</v>
      </c>
      <c r="F204" s="25">
        <f t="shared" si="9"/>
        <v>18.401369018679986</v>
      </c>
      <c r="G204" s="29">
        <f t="shared" si="10"/>
        <v>12.752710357023437</v>
      </c>
      <c r="H204" s="31">
        <f t="shared" si="11"/>
        <v>6.520641534392559</v>
      </c>
    </row>
    <row r="205" spans="1:8" x14ac:dyDescent="0.3">
      <c r="A205" s="5">
        <v>1.331217383</v>
      </c>
      <c r="B205" s="11">
        <v>1.8757865010000001</v>
      </c>
      <c r="C205" s="17">
        <v>2.4687893249999999</v>
      </c>
      <c r="D205">
        <v>2.4700000000000002</v>
      </c>
      <c r="F205" s="25">
        <f t="shared" si="9"/>
        <v>1.7721397208013687</v>
      </c>
      <c r="G205" s="29">
        <f t="shared" si="10"/>
        <v>3.5185749973338236</v>
      </c>
      <c r="H205" s="31">
        <f t="shared" si="11"/>
        <v>6.0949207312339553</v>
      </c>
    </row>
    <row r="206" spans="1:8" x14ac:dyDescent="0.3">
      <c r="A206" s="5">
        <v>3.8013855400000001</v>
      </c>
      <c r="B206" s="11">
        <v>3.2071935219999999</v>
      </c>
      <c r="C206" s="17">
        <v>2.5353596760000001</v>
      </c>
      <c r="D206">
        <v>2.4700000000000002</v>
      </c>
      <c r="F206" s="25">
        <f t="shared" si="9"/>
        <v>14.450532023721092</v>
      </c>
      <c r="G206" s="29">
        <f t="shared" si="10"/>
        <v>10.286090287558764</v>
      </c>
      <c r="H206" s="31">
        <f t="shared" si="11"/>
        <v>6.4280486866868252</v>
      </c>
    </row>
    <row r="207" spans="1:8" x14ac:dyDescent="0.3">
      <c r="A207" s="5">
        <v>0.52598651100000005</v>
      </c>
      <c r="B207" s="11">
        <v>1.24751893</v>
      </c>
      <c r="C207" s="17">
        <v>2.437375947</v>
      </c>
      <c r="D207">
        <v>2.4700000000000002</v>
      </c>
      <c r="F207" s="25">
        <f t="shared" si="9"/>
        <v>0.27666180975395316</v>
      </c>
      <c r="G207" s="29">
        <f t="shared" si="10"/>
        <v>1.5563034807083449</v>
      </c>
      <c r="H207" s="31">
        <f t="shared" si="11"/>
        <v>5.9408015070141467</v>
      </c>
    </row>
    <row r="208" spans="1:8" x14ac:dyDescent="0.3">
      <c r="A208" s="5">
        <v>0.68834498099999997</v>
      </c>
      <c r="B208" s="11">
        <v>1.4091475069999999</v>
      </c>
      <c r="C208" s="17">
        <v>2.4454573750000002</v>
      </c>
      <c r="D208">
        <v>2.4700000000000002</v>
      </c>
      <c r="F208" s="25">
        <f t="shared" si="9"/>
        <v>0.47381881286789029</v>
      </c>
      <c r="G208" s="29">
        <f t="shared" si="10"/>
        <v>1.9856966964843148</v>
      </c>
      <c r="H208" s="31">
        <f t="shared" si="11"/>
        <v>5.9802617729418914</v>
      </c>
    </row>
    <row r="209" spans="1:8" x14ac:dyDescent="0.3">
      <c r="A209" s="5">
        <v>3.4670552689999998</v>
      </c>
      <c r="B209" s="11">
        <v>3.0055426299999999</v>
      </c>
      <c r="C209" s="17">
        <v>2.5252771310000002</v>
      </c>
      <c r="D209">
        <v>2.4700000000000002</v>
      </c>
      <c r="F209" s="25">
        <f t="shared" si="9"/>
        <v>12.020472238300661</v>
      </c>
      <c r="G209" s="29">
        <f t="shared" si="10"/>
        <v>9.033286500747316</v>
      </c>
      <c r="H209" s="31">
        <f t="shared" si="11"/>
        <v>6.3770245883515919</v>
      </c>
    </row>
    <row r="210" spans="1:8" x14ac:dyDescent="0.3">
      <c r="A210" s="5">
        <v>9.0029600000000008E-3</v>
      </c>
      <c r="B210" s="11">
        <v>-0.411110641</v>
      </c>
      <c r="C210" s="17">
        <v>2.3544444680000001</v>
      </c>
      <c r="D210">
        <v>2.4700000000000002</v>
      </c>
      <c r="F210" s="25">
        <f t="shared" si="9"/>
        <v>8.1053288761600011E-5</v>
      </c>
      <c r="G210" s="29">
        <f t="shared" si="10"/>
        <v>0.16901195914343087</v>
      </c>
      <c r="H210" s="31">
        <f t="shared" si="11"/>
        <v>5.5434087528958029</v>
      </c>
    </row>
    <row r="211" spans="1:8" x14ac:dyDescent="0.3">
      <c r="A211" s="5">
        <v>4.2225409709999999</v>
      </c>
      <c r="B211" s="11">
        <v>3.5131611820000002</v>
      </c>
      <c r="C211" s="17">
        <v>2.5506580589999999</v>
      </c>
      <c r="D211">
        <v>2.4700000000000002</v>
      </c>
      <c r="F211" s="25">
        <f t="shared" si="9"/>
        <v>17.829852251773623</v>
      </c>
      <c r="G211" s="29">
        <f t="shared" si="10"/>
        <v>12.342301490711638</v>
      </c>
      <c r="H211" s="31">
        <f t="shared" si="11"/>
        <v>6.505856533941647</v>
      </c>
    </row>
    <row r="212" spans="1:8" x14ac:dyDescent="0.3">
      <c r="A212" s="5">
        <v>2.14087344</v>
      </c>
      <c r="B212" s="11">
        <v>2.3189764479999999</v>
      </c>
      <c r="C212" s="17">
        <v>2.490948822</v>
      </c>
      <c r="D212">
        <v>2.4700000000000002</v>
      </c>
      <c r="F212" s="25">
        <f t="shared" si="9"/>
        <v>4.5833390860974337</v>
      </c>
      <c r="G212" s="29">
        <f t="shared" si="10"/>
        <v>5.3776517663786967</v>
      </c>
      <c r="H212" s="31">
        <f t="shared" si="11"/>
        <v>6.2048260338231875</v>
      </c>
    </row>
    <row r="213" spans="1:8" x14ac:dyDescent="0.3">
      <c r="A213" s="5">
        <v>2.976775414</v>
      </c>
      <c r="B213" s="11">
        <v>2.7413423770000001</v>
      </c>
      <c r="C213" s="17">
        <v>2.5120671190000001</v>
      </c>
      <c r="D213">
        <v>2.4700000000000002</v>
      </c>
      <c r="F213" s="25">
        <f t="shared" si="9"/>
        <v>8.861191865394872</v>
      </c>
      <c r="G213" s="29">
        <f t="shared" si="10"/>
        <v>7.51495802793601</v>
      </c>
      <c r="H213" s="31">
        <f t="shared" si="11"/>
        <v>6.3104812103609609</v>
      </c>
    </row>
    <row r="214" spans="1:8" x14ac:dyDescent="0.3">
      <c r="A214" s="5">
        <v>0.39475692000000001</v>
      </c>
      <c r="B214" s="11">
        <v>1.087841219</v>
      </c>
      <c r="C214" s="17">
        <v>2.4293920610000002</v>
      </c>
      <c r="D214">
        <v>2.4700000000000002</v>
      </c>
      <c r="F214" s="25">
        <f t="shared" si="9"/>
        <v>0.15583302588788642</v>
      </c>
      <c r="G214" s="29">
        <f t="shared" si="10"/>
        <v>1.1833985177554058</v>
      </c>
      <c r="H214" s="31">
        <f t="shared" si="11"/>
        <v>5.9019457860498283</v>
      </c>
    </row>
    <row r="215" spans="1:8" x14ac:dyDescent="0.3">
      <c r="A215" s="5">
        <v>4.7679067350000004</v>
      </c>
      <c r="B215" s="11">
        <v>4.1806188799999999</v>
      </c>
      <c r="C215" s="17">
        <v>2.5840309440000002</v>
      </c>
      <c r="D215">
        <v>2.4700000000000002</v>
      </c>
      <c r="F215" s="25">
        <f t="shared" si="9"/>
        <v>22.732934633658363</v>
      </c>
      <c r="G215" s="29">
        <f t="shared" si="10"/>
        <v>17.477574219812453</v>
      </c>
      <c r="H215" s="31">
        <f t="shared" si="11"/>
        <v>6.677215919549532</v>
      </c>
    </row>
    <row r="216" spans="1:8" x14ac:dyDescent="0.3">
      <c r="A216" s="5">
        <v>5.6001465E-2</v>
      </c>
      <c r="B216" s="11">
        <v>0.21649527199999999</v>
      </c>
      <c r="C216" s="17">
        <v>2.3858247640000001</v>
      </c>
      <c r="D216">
        <v>2.4700000000000002</v>
      </c>
      <c r="F216" s="25">
        <f t="shared" si="9"/>
        <v>3.136164082146225E-3</v>
      </c>
      <c r="G216" s="29">
        <f t="shared" si="10"/>
        <v>4.687020279835398E-2</v>
      </c>
      <c r="H216" s="31">
        <f t="shared" si="11"/>
        <v>5.6921598045156561</v>
      </c>
    </row>
    <row r="217" spans="1:8" x14ac:dyDescent="0.3">
      <c r="A217" s="5">
        <v>1.6035950800000001</v>
      </c>
      <c r="B217" s="11">
        <v>2.0343114280000001</v>
      </c>
      <c r="C217" s="17">
        <v>2.4767155710000002</v>
      </c>
      <c r="D217">
        <v>2.4700000000000002</v>
      </c>
      <c r="F217" s="25">
        <f t="shared" si="9"/>
        <v>2.5715171806002064</v>
      </c>
      <c r="G217" s="29">
        <f t="shared" si="10"/>
        <v>4.1384229860913999</v>
      </c>
      <c r="H217" s="31">
        <f t="shared" si="11"/>
        <v>6.1341200196338566</v>
      </c>
    </row>
    <row r="218" spans="1:8" x14ac:dyDescent="0.3">
      <c r="A218" s="5">
        <v>4.3212683490000003</v>
      </c>
      <c r="B218" s="11">
        <v>3.5996313899999999</v>
      </c>
      <c r="C218" s="17">
        <v>2.5549815699999998</v>
      </c>
      <c r="D218">
        <v>2.4700000000000002</v>
      </c>
      <c r="F218" s="25">
        <f t="shared" si="9"/>
        <v>18.673360144069189</v>
      </c>
      <c r="G218" s="29">
        <f t="shared" si="10"/>
        <v>12.95734614387333</v>
      </c>
      <c r="H218" s="31">
        <f t="shared" si="11"/>
        <v>6.5279308230396635</v>
      </c>
    </row>
    <row r="219" spans="1:8" x14ac:dyDescent="0.3">
      <c r="A219" s="5">
        <v>2.796868801</v>
      </c>
      <c r="B219" s="11">
        <v>2.6493822310000001</v>
      </c>
      <c r="C219" s="17">
        <v>2.5074691119999999</v>
      </c>
      <c r="D219">
        <v>2.4700000000000002</v>
      </c>
      <c r="F219" s="25">
        <f t="shared" si="9"/>
        <v>7.8224750900071776</v>
      </c>
      <c r="G219" s="29">
        <f t="shared" si="10"/>
        <v>7.019226205938538</v>
      </c>
      <c r="H219" s="31">
        <f t="shared" si="11"/>
        <v>6.2874013476340682</v>
      </c>
    </row>
    <row r="220" spans="1:8" x14ac:dyDescent="0.3">
      <c r="A220" s="5">
        <v>3.8595233009999999</v>
      </c>
      <c r="B220" s="11">
        <v>3.2451330930000002</v>
      </c>
      <c r="C220" s="17">
        <v>2.5372566550000002</v>
      </c>
      <c r="D220">
        <v>2.4700000000000002</v>
      </c>
      <c r="F220" s="25">
        <f t="shared" si="9"/>
        <v>14.895920110961935</v>
      </c>
      <c r="G220" s="29">
        <f t="shared" si="10"/>
        <v>10.530888791283749</v>
      </c>
      <c r="H220" s="31">
        <f t="shared" si="11"/>
        <v>6.4376713333417896</v>
      </c>
    </row>
    <row r="221" spans="1:8" x14ac:dyDescent="0.3">
      <c r="A221" s="5">
        <v>4.5788445690000001</v>
      </c>
      <c r="B221" s="11">
        <v>3.8771614250000002</v>
      </c>
      <c r="C221" s="17">
        <v>2.5688580710000002</v>
      </c>
      <c r="D221">
        <v>2.4700000000000002</v>
      </c>
      <c r="F221" s="25">
        <f t="shared" si="9"/>
        <v>20.965817587060798</v>
      </c>
      <c r="G221" s="29">
        <f t="shared" si="10"/>
        <v>15.032380715508031</v>
      </c>
      <c r="H221" s="31">
        <f t="shared" si="11"/>
        <v>6.5990317889418417</v>
      </c>
    </row>
    <row r="222" spans="1:8" x14ac:dyDescent="0.3">
      <c r="A222" s="5">
        <v>3.0695516829999998</v>
      </c>
      <c r="B222" s="11">
        <v>2.7895262700000001</v>
      </c>
      <c r="C222" s="17">
        <v>2.5144763129999999</v>
      </c>
      <c r="D222">
        <v>2.4700000000000002</v>
      </c>
      <c r="F222" s="25">
        <f t="shared" si="9"/>
        <v>9.4221475346081309</v>
      </c>
      <c r="G222" s="29">
        <f t="shared" si="10"/>
        <v>7.7814568110201137</v>
      </c>
      <c r="H222" s="31">
        <f t="shared" si="11"/>
        <v>6.3225911286380736</v>
      </c>
    </row>
    <row r="223" spans="1:8" x14ac:dyDescent="0.3">
      <c r="A223" s="5">
        <v>1.03991821</v>
      </c>
      <c r="B223" s="11">
        <v>1.686562718</v>
      </c>
      <c r="C223" s="17">
        <v>2.4593281359999999</v>
      </c>
      <c r="D223">
        <v>2.4700000000000002</v>
      </c>
      <c r="F223" s="25">
        <f t="shared" si="9"/>
        <v>1.0814298834896039</v>
      </c>
      <c r="G223" s="29">
        <f t="shared" si="10"/>
        <v>2.8444938017475474</v>
      </c>
      <c r="H223" s="31">
        <f t="shared" si="11"/>
        <v>6.048294880521234</v>
      </c>
    </row>
    <row r="224" spans="1:8" x14ac:dyDescent="0.3">
      <c r="A224" s="5">
        <v>3.1356242559999998</v>
      </c>
      <c r="B224" s="11">
        <v>2.8242485039999998</v>
      </c>
      <c r="C224" s="17">
        <v>2.516212425</v>
      </c>
      <c r="D224">
        <v>2.4700000000000002</v>
      </c>
      <c r="F224" s="25">
        <f t="shared" si="9"/>
        <v>9.8321394748155519</v>
      </c>
      <c r="G224" s="29">
        <f t="shared" si="10"/>
        <v>7.9763796123462374</v>
      </c>
      <c r="H224" s="31">
        <f t="shared" si="11"/>
        <v>6.3313249677243801</v>
      </c>
    </row>
    <row r="225" spans="1:8" x14ac:dyDescent="0.3">
      <c r="A225" s="5">
        <v>2.321390423</v>
      </c>
      <c r="B225" s="11">
        <v>2.4103386019999999</v>
      </c>
      <c r="C225" s="17">
        <v>2.49551693</v>
      </c>
      <c r="D225">
        <v>2.4700000000000002</v>
      </c>
      <c r="F225" s="25">
        <f t="shared" si="9"/>
        <v>5.388853495996119</v>
      </c>
      <c r="G225" s="29">
        <f t="shared" si="10"/>
        <v>5.8097321762913143</v>
      </c>
      <c r="H225" s="31">
        <f t="shared" si="11"/>
        <v>6.227604747916625</v>
      </c>
    </row>
    <row r="226" spans="1:8" x14ac:dyDescent="0.3">
      <c r="A226" s="5">
        <v>0.36545915099999998</v>
      </c>
      <c r="B226" s="11">
        <v>1.04685484</v>
      </c>
      <c r="C226" s="17">
        <v>2.427342742</v>
      </c>
      <c r="D226">
        <v>2.4700000000000002</v>
      </c>
      <c r="F226" s="25">
        <f t="shared" si="9"/>
        <v>0.13356039104964079</v>
      </c>
      <c r="G226" s="29">
        <f t="shared" si="10"/>
        <v>1.0959050560314254</v>
      </c>
      <c r="H226" s="31">
        <f t="shared" si="11"/>
        <v>5.8919927871400786</v>
      </c>
    </row>
    <row r="227" spans="1:8" x14ac:dyDescent="0.3">
      <c r="A227" s="5">
        <v>0.87176122300000003</v>
      </c>
      <c r="B227" s="11">
        <v>1.5628953130000001</v>
      </c>
      <c r="C227" s="17">
        <v>2.4531447659999999</v>
      </c>
      <c r="D227">
        <v>2.4700000000000002</v>
      </c>
      <c r="F227" s="25">
        <f t="shared" si="9"/>
        <v>0.75996762992645583</v>
      </c>
      <c r="G227" s="29">
        <f t="shared" si="10"/>
        <v>2.4426417593973682</v>
      </c>
      <c r="H227" s="31">
        <f t="shared" si="11"/>
        <v>6.0179192429531945</v>
      </c>
    </row>
    <row r="228" spans="1:8" x14ac:dyDescent="0.3">
      <c r="A228" s="5">
        <v>3.6072878199999998</v>
      </c>
      <c r="B228" s="11">
        <v>3.0871766009999999</v>
      </c>
      <c r="C228" s="17">
        <v>2.5293588300000001</v>
      </c>
      <c r="D228">
        <v>2.4700000000000002</v>
      </c>
      <c r="F228" s="25">
        <f t="shared" si="9"/>
        <v>13.012525416320351</v>
      </c>
      <c r="G228" s="29">
        <f t="shared" si="10"/>
        <v>9.5306593657619132</v>
      </c>
      <c r="H228" s="31">
        <f t="shared" si="11"/>
        <v>6.3976560908989688</v>
      </c>
    </row>
    <row r="229" spans="1:8" x14ac:dyDescent="0.3">
      <c r="A229" s="5">
        <v>0.62440870400000004</v>
      </c>
      <c r="B229" s="11">
        <v>1.3490753820000001</v>
      </c>
      <c r="C229" s="17">
        <v>2.4424537690000001</v>
      </c>
      <c r="D229">
        <v>2.4700000000000002</v>
      </c>
      <c r="F229" s="25">
        <f t="shared" si="9"/>
        <v>0.38988622963095965</v>
      </c>
      <c r="G229" s="29">
        <f t="shared" si="10"/>
        <v>1.8200043863184463</v>
      </c>
      <c r="H229" s="31">
        <f t="shared" si="11"/>
        <v>5.9655804137023063</v>
      </c>
    </row>
    <row r="230" spans="1:8" x14ac:dyDescent="0.3">
      <c r="A230" s="5">
        <v>2.4456007569999998</v>
      </c>
      <c r="B230" s="11">
        <v>2.472725391</v>
      </c>
      <c r="C230" s="17">
        <v>2.49863627</v>
      </c>
      <c r="D230">
        <v>2.4700000000000002</v>
      </c>
      <c r="F230" s="25">
        <f t="shared" si="9"/>
        <v>5.9809630626389723</v>
      </c>
      <c r="G230" s="29">
        <f t="shared" si="10"/>
        <v>6.1143708592961028</v>
      </c>
      <c r="H230" s="31">
        <f t="shared" si="11"/>
        <v>6.243183209759513</v>
      </c>
    </row>
    <row r="231" spans="1:8" x14ac:dyDescent="0.3">
      <c r="A231" s="5">
        <v>0.23621326300000001</v>
      </c>
      <c r="B231" s="11">
        <v>0.82780304100000002</v>
      </c>
      <c r="C231" s="17">
        <v>2.416390152</v>
      </c>
      <c r="D231">
        <v>2.4700000000000002</v>
      </c>
      <c r="F231" s="25">
        <f t="shared" si="9"/>
        <v>5.5796705617107173E-2</v>
      </c>
      <c r="G231" s="29">
        <f t="shared" si="10"/>
        <v>0.68525787468884769</v>
      </c>
      <c r="H231" s="31">
        <f t="shared" si="11"/>
        <v>5.8389413666825831</v>
      </c>
    </row>
    <row r="232" spans="1:8" x14ac:dyDescent="0.3">
      <c r="A232" s="5">
        <v>3.9841914119999999</v>
      </c>
      <c r="B232" s="11">
        <v>3.3303800309999998</v>
      </c>
      <c r="C232" s="17">
        <v>2.5415190019999998</v>
      </c>
      <c r="D232">
        <v>2.4700000000000002</v>
      </c>
      <c r="F232" s="25">
        <f t="shared" si="9"/>
        <v>15.873781207454552</v>
      </c>
      <c r="G232" s="29">
        <f t="shared" si="10"/>
        <v>11.09143115088356</v>
      </c>
      <c r="H232" s="31">
        <f t="shared" si="11"/>
        <v>6.4593188375270749</v>
      </c>
    </row>
    <row r="233" spans="1:8" x14ac:dyDescent="0.3">
      <c r="A233" s="5">
        <v>3.234046449</v>
      </c>
      <c r="B233" s="11">
        <v>2.876720664</v>
      </c>
      <c r="C233" s="17">
        <v>2.5188360329999999</v>
      </c>
      <c r="D233">
        <v>2.4700000000000002</v>
      </c>
      <c r="F233" s="25">
        <f t="shared" si="9"/>
        <v>10.45905643428951</v>
      </c>
      <c r="G233" s="29">
        <f t="shared" si="10"/>
        <v>8.2755217786846007</v>
      </c>
      <c r="H233" s="31">
        <f t="shared" si="11"/>
        <v>6.3445349611391766</v>
      </c>
    </row>
    <row r="234" spans="1:8" x14ac:dyDescent="0.3">
      <c r="A234" s="5">
        <v>0.94531083100000002</v>
      </c>
      <c r="B234" s="11">
        <v>1.6186427910000001</v>
      </c>
      <c r="C234" s="17">
        <v>2.4559321399999998</v>
      </c>
      <c r="D234">
        <v>2.4700000000000002</v>
      </c>
      <c r="F234" s="25">
        <f t="shared" si="9"/>
        <v>0.89361256720591065</v>
      </c>
      <c r="G234" s="29">
        <f t="shared" si="10"/>
        <v>2.62000448485627</v>
      </c>
      <c r="H234" s="31">
        <f t="shared" si="11"/>
        <v>6.0316026762849786</v>
      </c>
    </row>
    <row r="235" spans="1:8" x14ac:dyDescent="0.3">
      <c r="A235" s="5">
        <v>3.1051057470000001</v>
      </c>
      <c r="B235" s="11">
        <v>2.80816409</v>
      </c>
      <c r="C235" s="17">
        <v>2.5154082039999999</v>
      </c>
      <c r="D235">
        <v>2.4700000000000002</v>
      </c>
      <c r="F235" s="25">
        <f t="shared" si="9"/>
        <v>9.6416817000524286</v>
      </c>
      <c r="G235" s="29">
        <f t="shared" si="10"/>
        <v>7.8857855563655281</v>
      </c>
      <c r="H235" s="31">
        <f t="shared" si="11"/>
        <v>6.3272784327505054</v>
      </c>
    </row>
    <row r="236" spans="1:8" x14ac:dyDescent="0.3">
      <c r="A236" s="5">
        <v>3.2123783069999998</v>
      </c>
      <c r="B236" s="11">
        <v>2.865084816</v>
      </c>
      <c r="C236" s="17">
        <v>2.5182542410000002</v>
      </c>
      <c r="D236">
        <v>2.4700000000000002</v>
      </c>
      <c r="F236" s="25">
        <f t="shared" si="9"/>
        <v>10.319374387284185</v>
      </c>
      <c r="G236" s="29">
        <f t="shared" si="10"/>
        <v>8.2087110028737538</v>
      </c>
      <c r="H236" s="31">
        <f t="shared" si="11"/>
        <v>6.3416044223144867</v>
      </c>
    </row>
    <row r="237" spans="1:8" x14ac:dyDescent="0.3">
      <c r="A237" s="5">
        <v>3.2262642289999999</v>
      </c>
      <c r="B237" s="11">
        <v>2.8725358509999999</v>
      </c>
      <c r="C237" s="17">
        <v>2.5186267930000001</v>
      </c>
      <c r="D237">
        <v>2.4700000000000002</v>
      </c>
      <c r="F237" s="25">
        <f t="shared" si="9"/>
        <v>10.408780875324963</v>
      </c>
      <c r="G237" s="29">
        <f t="shared" si="10"/>
        <v>8.2514622152802932</v>
      </c>
      <c r="H237" s="31">
        <f t="shared" si="11"/>
        <v>6.3434809224174655</v>
      </c>
    </row>
    <row r="238" spans="1:8" x14ac:dyDescent="0.3">
      <c r="A238" s="5">
        <v>4.3926816610000001</v>
      </c>
      <c r="B238" s="11">
        <v>3.6677002480000001</v>
      </c>
      <c r="C238" s="17">
        <v>2.558385012</v>
      </c>
      <c r="D238">
        <v>2.4700000000000002</v>
      </c>
      <c r="F238" s="25">
        <f t="shared" si="9"/>
        <v>19.295652174885721</v>
      </c>
      <c r="G238" s="29">
        <f t="shared" si="10"/>
        <v>13.452025109179262</v>
      </c>
      <c r="H238" s="31">
        <f t="shared" si="11"/>
        <v>6.5453338696262406</v>
      </c>
    </row>
    <row r="239" spans="1:8" x14ac:dyDescent="0.3">
      <c r="A239" s="5">
        <v>3.126468703</v>
      </c>
      <c r="B239" s="11">
        <v>2.8194145389999998</v>
      </c>
      <c r="C239" s="17">
        <v>2.515970727</v>
      </c>
      <c r="D239">
        <v>2.4700000000000002</v>
      </c>
      <c r="F239" s="25">
        <f t="shared" si="9"/>
        <v>9.7748065508385018</v>
      </c>
      <c r="G239" s="29">
        <f t="shared" si="10"/>
        <v>7.9490983427245814</v>
      </c>
      <c r="H239" s="31">
        <f t="shared" si="11"/>
        <v>6.3301086991209088</v>
      </c>
    </row>
    <row r="240" spans="1:8" x14ac:dyDescent="0.3">
      <c r="A240" s="5">
        <v>0.15503402799999999</v>
      </c>
      <c r="B240" s="11">
        <v>0.63379872599999998</v>
      </c>
      <c r="C240" s="17">
        <v>2.4066899359999998</v>
      </c>
      <c r="D240">
        <v>2.4700000000000002</v>
      </c>
      <c r="F240" s="25">
        <f t="shared" si="9"/>
        <v>2.403554983790478E-2</v>
      </c>
      <c r="G240" s="29">
        <f t="shared" si="10"/>
        <v>0.40170082507922306</v>
      </c>
      <c r="H240" s="31">
        <f t="shared" si="11"/>
        <v>5.7921564480436833</v>
      </c>
    </row>
    <row r="241" spans="1:8" x14ac:dyDescent="0.3">
      <c r="A241" s="5">
        <v>2.0903653069999999</v>
      </c>
      <c r="B241" s="11">
        <v>2.2931740839999999</v>
      </c>
      <c r="C241" s="17">
        <v>2.489658704</v>
      </c>
      <c r="D241">
        <v>2.4700000000000002</v>
      </c>
      <c r="F241" s="25">
        <f t="shared" si="9"/>
        <v>4.3696271167092036</v>
      </c>
      <c r="G241" s="29">
        <f t="shared" si="10"/>
        <v>5.258647379529239</v>
      </c>
      <c r="H241" s="31">
        <f t="shared" si="11"/>
        <v>6.1984004624029598</v>
      </c>
    </row>
    <row r="242" spans="1:8" x14ac:dyDescent="0.3">
      <c r="A242" s="5">
        <v>1.5837580490000001</v>
      </c>
      <c r="B242" s="11">
        <v>2.0231974030000002</v>
      </c>
      <c r="C242" s="17">
        <v>2.47615987</v>
      </c>
      <c r="D242">
        <v>2.4700000000000002</v>
      </c>
      <c r="F242" s="25">
        <f t="shared" si="9"/>
        <v>2.5082895577722866</v>
      </c>
      <c r="G242" s="29">
        <f t="shared" si="10"/>
        <v>4.0933277315059451</v>
      </c>
      <c r="H242" s="31">
        <f t="shared" si="11"/>
        <v>6.1313677017984167</v>
      </c>
    </row>
    <row r="243" spans="1:8" x14ac:dyDescent="0.3">
      <c r="A243" s="5">
        <v>1.6180913720000001</v>
      </c>
      <c r="B243" s="11">
        <v>2.0423945620000001</v>
      </c>
      <c r="C243" s="17">
        <v>2.4771197279999999</v>
      </c>
      <c r="D243">
        <v>2.4700000000000002</v>
      </c>
      <c r="F243" s="25">
        <f t="shared" si="9"/>
        <v>2.6182196881408428</v>
      </c>
      <c r="G243" s="29">
        <f t="shared" si="10"/>
        <v>4.1713755468871723</v>
      </c>
      <c r="H243" s="31">
        <f t="shared" si="11"/>
        <v>6.1361221468467937</v>
      </c>
    </row>
    <row r="244" spans="1:8" x14ac:dyDescent="0.3">
      <c r="A244" s="5">
        <v>0.23636585600000001</v>
      </c>
      <c r="B244" s="11">
        <v>0.82811226999999998</v>
      </c>
      <c r="C244" s="17">
        <v>2.4164056129999998</v>
      </c>
      <c r="D244">
        <v>2.4700000000000002</v>
      </c>
      <c r="F244" s="25">
        <f t="shared" si="9"/>
        <v>5.5868817882612741E-2</v>
      </c>
      <c r="G244" s="29">
        <f t="shared" si="10"/>
        <v>0.68576993172455292</v>
      </c>
      <c r="H244" s="31">
        <f t="shared" si="11"/>
        <v>5.8390160865379048</v>
      </c>
    </row>
    <row r="245" spans="1:8" x14ac:dyDescent="0.3">
      <c r="A245" s="5">
        <v>2.9224524669999998</v>
      </c>
      <c r="B245" s="11">
        <v>2.7133947420000002</v>
      </c>
      <c r="C245" s="17">
        <v>2.5106697370000002</v>
      </c>
      <c r="D245">
        <v>2.4700000000000002</v>
      </c>
      <c r="F245" s="25">
        <f t="shared" si="9"/>
        <v>8.5407284218743857</v>
      </c>
      <c r="G245" s="29">
        <f t="shared" si="10"/>
        <v>7.362511025913248</v>
      </c>
      <c r="H245" s="31">
        <f t="shared" si="11"/>
        <v>6.3034625282876497</v>
      </c>
    </row>
    <row r="246" spans="1:8" x14ac:dyDescent="0.3">
      <c r="A246" s="5">
        <v>2.6274910729999998</v>
      </c>
      <c r="B246" s="11">
        <v>2.563957941</v>
      </c>
      <c r="C246" s="17">
        <v>2.5031978970000002</v>
      </c>
      <c r="D246">
        <v>2.4700000000000002</v>
      </c>
      <c r="F246" s="25">
        <f t="shared" si="9"/>
        <v>6.9037093386946902</v>
      </c>
      <c r="G246" s="29">
        <f t="shared" si="10"/>
        <v>6.5738803232169589</v>
      </c>
      <c r="H246" s="31">
        <f t="shared" si="11"/>
        <v>6.2659997115452235</v>
      </c>
    </row>
    <row r="247" spans="1:8" x14ac:dyDescent="0.3">
      <c r="A247" s="5">
        <v>2.563554796</v>
      </c>
      <c r="B247" s="11">
        <v>2.5318664210000001</v>
      </c>
      <c r="C247" s="17">
        <v>2.5015933210000001</v>
      </c>
      <c r="D247">
        <v>2.4700000000000002</v>
      </c>
      <c r="F247" s="25">
        <f t="shared" si="9"/>
        <v>6.5718131920946021</v>
      </c>
      <c r="G247" s="29">
        <f t="shared" si="10"/>
        <v>6.4103475737873499</v>
      </c>
      <c r="H247" s="31">
        <f t="shared" si="11"/>
        <v>6.2579691436718097</v>
      </c>
    </row>
    <row r="248" spans="1:8" x14ac:dyDescent="0.3">
      <c r="A248" s="5">
        <v>1.078371532</v>
      </c>
      <c r="B248" s="11">
        <v>1.713114279</v>
      </c>
      <c r="C248" s="17">
        <v>2.460655714</v>
      </c>
      <c r="D248">
        <v>2.4700000000000002</v>
      </c>
      <c r="F248" s="25">
        <f t="shared" si="9"/>
        <v>1.1628851610280271</v>
      </c>
      <c r="G248" s="29">
        <f t="shared" si="10"/>
        <v>2.9347605329136899</v>
      </c>
      <c r="H248" s="31">
        <f t="shared" si="11"/>
        <v>6.0548265428408499</v>
      </c>
    </row>
    <row r="249" spans="1:8" x14ac:dyDescent="0.3">
      <c r="A249" s="5">
        <v>1.6373180329999999</v>
      </c>
      <c r="B249" s="11">
        <v>2.05307203</v>
      </c>
      <c r="C249" s="17">
        <v>2.4776536010000001</v>
      </c>
      <c r="D249">
        <v>2.4700000000000002</v>
      </c>
      <c r="F249" s="25">
        <f t="shared" si="9"/>
        <v>2.6808103411869886</v>
      </c>
      <c r="G249" s="29">
        <f t="shared" si="10"/>
        <v>4.2151047603683214</v>
      </c>
      <c r="H249" s="31">
        <f t="shared" si="11"/>
        <v>6.1387673665482678</v>
      </c>
    </row>
    <row r="250" spans="1:8" x14ac:dyDescent="0.3">
      <c r="A250" s="5">
        <v>0.93462935300000005</v>
      </c>
      <c r="B250" s="11">
        <v>1.6107188180000001</v>
      </c>
      <c r="C250" s="17">
        <v>2.4555359409999999</v>
      </c>
      <c r="D250">
        <v>2.4700000000000002</v>
      </c>
      <c r="F250" s="25">
        <f t="shared" si="9"/>
        <v>0.87353202748919867</v>
      </c>
      <c r="G250" s="29">
        <f t="shared" si="10"/>
        <v>2.5944151106593174</v>
      </c>
      <c r="H250" s="31">
        <f t="shared" si="11"/>
        <v>6.0296567575427549</v>
      </c>
    </row>
    <row r="251" spans="1:8" x14ac:dyDescent="0.3">
      <c r="A251" s="5">
        <v>4.7657704399999998</v>
      </c>
      <c r="B251" s="11">
        <v>4.1762351149999999</v>
      </c>
      <c r="C251" s="17">
        <v>2.5838117559999998</v>
      </c>
      <c r="D251">
        <v>2.4700000000000002</v>
      </c>
      <c r="F251" s="25">
        <f t="shared" si="9"/>
        <v>22.712567886777791</v>
      </c>
      <c r="G251" s="29">
        <f t="shared" si="10"/>
        <v>17.440939735759063</v>
      </c>
      <c r="H251" s="31">
        <f t="shared" si="11"/>
        <v>6.6760831904438023</v>
      </c>
    </row>
    <row r="252" spans="1:8" x14ac:dyDescent="0.3">
      <c r="A252" s="5">
        <v>1.665089877</v>
      </c>
      <c r="B252" s="11">
        <v>2.0684049739999999</v>
      </c>
      <c r="C252" s="17">
        <v>2.478420249</v>
      </c>
      <c r="D252">
        <v>2.4700000000000002</v>
      </c>
      <c r="F252" s="25">
        <f t="shared" si="9"/>
        <v>2.7725242984878751</v>
      </c>
      <c r="G252" s="29">
        <f t="shared" si="10"/>
        <v>4.2782991364679406</v>
      </c>
      <c r="H252" s="31">
        <f t="shared" si="11"/>
        <v>6.1425669306532225</v>
      </c>
    </row>
    <row r="253" spans="1:8" x14ac:dyDescent="0.3">
      <c r="A253" s="5">
        <v>2.603228858</v>
      </c>
      <c r="B253" s="11">
        <v>2.5517741229999999</v>
      </c>
      <c r="C253" s="17">
        <v>2.5025887060000001</v>
      </c>
      <c r="D253">
        <v>2.4700000000000002</v>
      </c>
      <c r="F253" s="25">
        <f t="shared" si="9"/>
        <v>6.7768004871239844</v>
      </c>
      <c r="G253" s="29">
        <f t="shared" si="10"/>
        <v>6.5115511748124186</v>
      </c>
      <c r="H253" s="31">
        <f t="shared" si="11"/>
        <v>6.2629502313987544</v>
      </c>
    </row>
    <row r="254" spans="1:8" x14ac:dyDescent="0.3">
      <c r="A254" s="5">
        <v>1.937314982</v>
      </c>
      <c r="B254" s="11">
        <v>2.2140616870000001</v>
      </c>
      <c r="C254" s="17">
        <v>2.4857030839999998</v>
      </c>
      <c r="D254">
        <v>2.4700000000000002</v>
      </c>
      <c r="F254" s="25">
        <f t="shared" si="9"/>
        <v>3.75318933948166</v>
      </c>
      <c r="G254" s="29">
        <f t="shared" si="10"/>
        <v>4.9020691538412864</v>
      </c>
      <c r="H254" s="31">
        <f t="shared" si="11"/>
        <v>6.1787198218071104</v>
      </c>
    </row>
    <row r="255" spans="1:8" x14ac:dyDescent="0.3">
      <c r="A255" s="5">
        <v>3.8155766469999999</v>
      </c>
      <c r="B255" s="11">
        <v>3.2163589539999999</v>
      </c>
      <c r="C255" s="17">
        <v>2.535817948</v>
      </c>
      <c r="D255">
        <v>2.4700000000000002</v>
      </c>
      <c r="F255" s="25">
        <f t="shared" si="9"/>
        <v>14.558625149131762</v>
      </c>
      <c r="G255" s="29">
        <f t="shared" si="10"/>
        <v>10.344964920975974</v>
      </c>
      <c r="H255" s="31">
        <f t="shared" si="11"/>
        <v>6.4303726653989308</v>
      </c>
    </row>
    <row r="256" spans="1:8" x14ac:dyDescent="0.3">
      <c r="A256" s="5">
        <v>2.0625934629999998</v>
      </c>
      <c r="B256" s="11">
        <v>2.2789291230000002</v>
      </c>
      <c r="C256" s="17">
        <v>2.4889464559999999</v>
      </c>
      <c r="D256">
        <v>2.4700000000000002</v>
      </c>
      <c r="F256" s="25">
        <f t="shared" si="9"/>
        <v>4.2542917936103315</v>
      </c>
      <c r="G256" s="29">
        <f t="shared" si="10"/>
        <v>5.1935179476575497</v>
      </c>
      <c r="H256" s="31">
        <f t="shared" si="11"/>
        <v>6.1948544608349589</v>
      </c>
    </row>
    <row r="257" spans="1:8" x14ac:dyDescent="0.3">
      <c r="A257" s="5">
        <v>2.608264412</v>
      </c>
      <c r="B257" s="11">
        <v>2.5543025180000001</v>
      </c>
      <c r="C257" s="17">
        <v>2.502715126</v>
      </c>
      <c r="D257">
        <v>2.4700000000000002</v>
      </c>
      <c r="F257" s="25">
        <f t="shared" si="9"/>
        <v>6.8030432429057059</v>
      </c>
      <c r="G257" s="29">
        <f t="shared" si="10"/>
        <v>6.5244613534611409</v>
      </c>
      <c r="H257" s="31">
        <f t="shared" si="11"/>
        <v>6.263583001909196</v>
      </c>
    </row>
    <row r="258" spans="1:8" x14ac:dyDescent="0.3">
      <c r="A258" s="5">
        <v>1.817529832</v>
      </c>
      <c r="B258" s="11">
        <v>2.1508972800000001</v>
      </c>
      <c r="C258" s="17">
        <v>2.4825448639999999</v>
      </c>
      <c r="D258">
        <v>2.4700000000000002</v>
      </c>
      <c r="F258" s="25">
        <f t="shared" si="9"/>
        <v>3.3034146902099479</v>
      </c>
      <c r="G258" s="29">
        <f t="shared" si="10"/>
        <v>4.6263591091113989</v>
      </c>
      <c r="H258" s="31">
        <f t="shared" si="11"/>
        <v>6.1630290017727773</v>
      </c>
    </row>
    <row r="259" spans="1:8" x14ac:dyDescent="0.3">
      <c r="A259" s="5">
        <v>4.0310373239999997</v>
      </c>
      <c r="B259" s="11">
        <v>3.3640040510000002</v>
      </c>
      <c r="C259" s="17">
        <v>2.543200203</v>
      </c>
      <c r="D259">
        <v>2.4700000000000002</v>
      </c>
      <c r="F259" s="25">
        <f t="shared" ref="F259:F322" si="12">POWER(A259,2)</f>
        <v>16.249261907481078</v>
      </c>
      <c r="G259" s="29">
        <f t="shared" ref="G259:G322" si="13">POWER(B259,2)</f>
        <v>11.316523255144412</v>
      </c>
      <c r="H259" s="31">
        <f t="shared" ref="H259:H322" si="14">POWER(C259,2)</f>
        <v>6.4678672725392419</v>
      </c>
    </row>
    <row r="260" spans="1:8" x14ac:dyDescent="0.3">
      <c r="A260" s="5">
        <v>3.2255012669999998</v>
      </c>
      <c r="B260" s="11">
        <v>2.8721254420000002</v>
      </c>
      <c r="C260" s="17">
        <v>2.518606272</v>
      </c>
      <c r="D260">
        <v>2.4700000000000002</v>
      </c>
      <c r="F260" s="25">
        <f t="shared" si="12"/>
        <v>10.403858423418605</v>
      </c>
      <c r="G260" s="29">
        <f t="shared" si="13"/>
        <v>8.2491045545836972</v>
      </c>
      <c r="H260" s="31">
        <f t="shared" si="14"/>
        <v>6.3433775533577377</v>
      </c>
    </row>
    <row r="261" spans="1:8" x14ac:dyDescent="0.3">
      <c r="A261" s="5">
        <v>4.5611438340000001</v>
      </c>
      <c r="B261" s="11">
        <v>3.8546082300000002</v>
      </c>
      <c r="C261" s="17">
        <v>2.567730412</v>
      </c>
      <c r="D261">
        <v>2.4700000000000002</v>
      </c>
      <c r="F261" s="25">
        <f t="shared" si="12"/>
        <v>20.804033074436219</v>
      </c>
      <c r="G261" s="29">
        <f t="shared" si="13"/>
        <v>14.858004606783734</v>
      </c>
      <c r="H261" s="31">
        <f t="shared" si="14"/>
        <v>6.5932394687096894</v>
      </c>
    </row>
    <row r="262" spans="1:8" x14ac:dyDescent="0.3">
      <c r="A262" s="5">
        <v>2.0267342140000002</v>
      </c>
      <c r="B262" s="11">
        <v>2.2604686539999999</v>
      </c>
      <c r="C262" s="17">
        <v>2.488023433</v>
      </c>
      <c r="D262">
        <v>2.4700000000000002</v>
      </c>
      <c r="F262" s="25">
        <f t="shared" si="12"/>
        <v>4.1076515741981989</v>
      </c>
      <c r="G262" s="29">
        <f t="shared" si="13"/>
        <v>5.1097185357165706</v>
      </c>
      <c r="H262" s="31">
        <f t="shared" si="14"/>
        <v>6.190260603157105</v>
      </c>
    </row>
    <row r="263" spans="1:8" x14ac:dyDescent="0.3">
      <c r="A263" s="5">
        <v>3.0228583640000002</v>
      </c>
      <c r="B263" s="11">
        <v>2.7651984230000002</v>
      </c>
      <c r="C263" s="17">
        <v>2.513259921</v>
      </c>
      <c r="D263">
        <v>2.4700000000000002</v>
      </c>
      <c r="F263" s="25">
        <f t="shared" si="12"/>
        <v>9.1376726888047575</v>
      </c>
      <c r="G263" s="29">
        <f t="shared" si="13"/>
        <v>7.6463223185616878</v>
      </c>
      <c r="H263" s="31">
        <f t="shared" si="14"/>
        <v>6.3164754305049264</v>
      </c>
    </row>
    <row r="264" spans="1:8" x14ac:dyDescent="0.3">
      <c r="A264" s="5">
        <v>3.9252906890000001</v>
      </c>
      <c r="B264" s="11">
        <v>3.289391379</v>
      </c>
      <c r="C264" s="17">
        <v>2.539469569</v>
      </c>
      <c r="D264">
        <v>2.4700000000000002</v>
      </c>
      <c r="F264" s="25">
        <f t="shared" si="12"/>
        <v>15.407906993150096</v>
      </c>
      <c r="G264" s="29">
        <f t="shared" si="13"/>
        <v>10.820095644239522</v>
      </c>
      <c r="H264" s="31">
        <f t="shared" si="14"/>
        <v>6.4489056918770453</v>
      </c>
    </row>
    <row r="265" spans="1:8" x14ac:dyDescent="0.3">
      <c r="A265" s="5">
        <v>4.8362681969999999</v>
      </c>
      <c r="B265" s="11">
        <v>4.3418813849999998</v>
      </c>
      <c r="C265" s="17">
        <v>2.5920940689999998</v>
      </c>
      <c r="D265">
        <v>2.4700000000000002</v>
      </c>
      <c r="F265" s="25">
        <f t="shared" si="12"/>
        <v>23.389490073313631</v>
      </c>
      <c r="G265" s="29">
        <f t="shared" si="13"/>
        <v>18.851933961409514</v>
      </c>
      <c r="H265" s="31">
        <f t="shared" si="14"/>
        <v>6.7189516625449759</v>
      </c>
    </row>
    <row r="266" spans="1:8" x14ac:dyDescent="0.3">
      <c r="A266" s="5">
        <v>2.8775902580000001</v>
      </c>
      <c r="B266" s="11">
        <v>2.6904413690000002</v>
      </c>
      <c r="C266" s="17">
        <v>2.5095220679999999</v>
      </c>
      <c r="D266">
        <v>2.4700000000000002</v>
      </c>
      <c r="F266" s="25">
        <f t="shared" si="12"/>
        <v>8.2805256929365072</v>
      </c>
      <c r="G266" s="29">
        <f t="shared" si="13"/>
        <v>7.2384747600265955</v>
      </c>
      <c r="H266" s="31">
        <f t="shared" si="14"/>
        <v>6.2977010097789963</v>
      </c>
    </row>
    <row r="267" spans="1:8" x14ac:dyDescent="0.3">
      <c r="A267" s="5">
        <v>4.0444654680000003</v>
      </c>
      <c r="B267" s="11">
        <v>3.3738243200000002</v>
      </c>
      <c r="C267" s="17">
        <v>2.543691216</v>
      </c>
      <c r="D267">
        <v>2.4700000000000002</v>
      </c>
      <c r="F267" s="25">
        <f t="shared" si="12"/>
        <v>16.357700921844462</v>
      </c>
      <c r="G267" s="29">
        <f t="shared" si="13"/>
        <v>11.382690542223465</v>
      </c>
      <c r="H267" s="31">
        <f t="shared" si="14"/>
        <v>6.4703650023555586</v>
      </c>
    </row>
    <row r="268" spans="1:8" x14ac:dyDescent="0.3">
      <c r="A268" s="5">
        <v>4.3263039030000003</v>
      </c>
      <c r="B268" s="11">
        <v>3.6042652660000001</v>
      </c>
      <c r="C268" s="17">
        <v>2.5552132630000002</v>
      </c>
      <c r="D268">
        <v>2.4700000000000002</v>
      </c>
      <c r="F268" s="25">
        <f t="shared" si="12"/>
        <v>18.716905461113036</v>
      </c>
      <c r="G268" s="29">
        <f t="shared" si="13"/>
        <v>12.990728107694052</v>
      </c>
      <c r="H268" s="31">
        <f t="shared" si="14"/>
        <v>6.5291148194111077</v>
      </c>
    </row>
    <row r="269" spans="1:8" x14ac:dyDescent="0.3">
      <c r="A269" s="5">
        <v>0.66652424700000001</v>
      </c>
      <c r="B269" s="11">
        <v>1.3890954230000001</v>
      </c>
      <c r="C269" s="17">
        <v>2.4444547710000002</v>
      </c>
      <c r="D269">
        <v>2.4700000000000002</v>
      </c>
      <c r="F269" s="25">
        <f t="shared" si="12"/>
        <v>0.44425457183891703</v>
      </c>
      <c r="G269" s="29">
        <f t="shared" si="13"/>
        <v>1.9295860941995493</v>
      </c>
      <c r="H269" s="31">
        <f t="shared" si="14"/>
        <v>5.9753591274646638</v>
      </c>
    </row>
    <row r="270" spans="1:8" x14ac:dyDescent="0.3">
      <c r="A270" s="5">
        <v>1.9901120029999999</v>
      </c>
      <c r="B270" s="11">
        <v>2.2415307009999998</v>
      </c>
      <c r="C270" s="17">
        <v>2.4870765349999999</v>
      </c>
      <c r="D270">
        <v>2.4700000000000002</v>
      </c>
      <c r="F270" s="25">
        <f t="shared" si="12"/>
        <v>3.9605457844846716</v>
      </c>
      <c r="G270" s="29">
        <f t="shared" si="13"/>
        <v>5.0244598835255507</v>
      </c>
      <c r="H270" s="31">
        <f t="shared" si="14"/>
        <v>6.1855496909476058</v>
      </c>
    </row>
    <row r="271" spans="1:8" x14ac:dyDescent="0.3">
      <c r="A271" s="5">
        <v>3.7800225840000001</v>
      </c>
      <c r="B271" s="11">
        <v>3.1935079000000002</v>
      </c>
      <c r="C271" s="17">
        <v>2.5346753949999998</v>
      </c>
      <c r="D271">
        <v>2.4700000000000002</v>
      </c>
      <c r="F271" s="25">
        <f t="shared" si="12"/>
        <v>14.288570735550039</v>
      </c>
      <c r="G271" s="29">
        <f t="shared" si="13"/>
        <v>10.19849270736241</v>
      </c>
      <c r="H271" s="31">
        <f t="shared" si="14"/>
        <v>6.4245793580184047</v>
      </c>
    </row>
    <row r="272" spans="1:8" x14ac:dyDescent="0.3">
      <c r="A272" s="5">
        <v>3.245948668</v>
      </c>
      <c r="B272" s="11">
        <v>2.8831337380000002</v>
      </c>
      <c r="C272" s="17">
        <v>2.5191566870000002</v>
      </c>
      <c r="D272">
        <v>2.4700000000000002</v>
      </c>
      <c r="F272" s="25">
        <f t="shared" si="12"/>
        <v>10.536182755290975</v>
      </c>
      <c r="G272" s="29">
        <f t="shared" si="13"/>
        <v>8.3124601511938536</v>
      </c>
      <c r="H272" s="31">
        <f t="shared" si="14"/>
        <v>6.346150413656817</v>
      </c>
    </row>
    <row r="273" spans="1:8" x14ac:dyDescent="0.3">
      <c r="A273" s="5">
        <v>1.4923551129999999</v>
      </c>
      <c r="B273" s="11">
        <v>1.9711970430000001</v>
      </c>
      <c r="C273" s="17">
        <v>2.4735598520000002</v>
      </c>
      <c r="D273">
        <v>2.4700000000000002</v>
      </c>
      <c r="F273" s="25">
        <f t="shared" si="12"/>
        <v>2.2271237832972424</v>
      </c>
      <c r="G273" s="29">
        <f t="shared" si="13"/>
        <v>3.8856177823319444</v>
      </c>
      <c r="H273" s="31">
        <f t="shared" si="14"/>
        <v>6.118498341426263</v>
      </c>
    </row>
    <row r="274" spans="1:8" x14ac:dyDescent="0.3">
      <c r="A274" s="5">
        <v>0.87115085299999995</v>
      </c>
      <c r="B274" s="11">
        <v>1.5624201019999999</v>
      </c>
      <c r="C274" s="17">
        <v>2.4531210049999999</v>
      </c>
      <c r="D274">
        <v>2.4700000000000002</v>
      </c>
      <c r="F274" s="25">
        <f t="shared" si="12"/>
        <v>0.75890380868262752</v>
      </c>
      <c r="G274" s="29">
        <f t="shared" si="13"/>
        <v>2.4411565751336903</v>
      </c>
      <c r="H274" s="31">
        <f t="shared" si="14"/>
        <v>6.0178026651722094</v>
      </c>
    </row>
    <row r="275" spans="1:8" x14ac:dyDescent="0.3">
      <c r="A275" s="5">
        <v>0.72893459900000002</v>
      </c>
      <c r="B275" s="11">
        <v>1.445324933</v>
      </c>
      <c r="C275" s="17">
        <v>2.447266247</v>
      </c>
      <c r="D275">
        <v>2.4700000000000002</v>
      </c>
      <c r="F275" s="25">
        <f t="shared" si="12"/>
        <v>0.53134564961929087</v>
      </c>
      <c r="G275" s="29">
        <f t="shared" si="13"/>
        <v>2.0889641619514543</v>
      </c>
      <c r="H275" s="31">
        <f t="shared" si="14"/>
        <v>5.9891120837054643</v>
      </c>
    </row>
    <row r="276" spans="1:8" x14ac:dyDescent="0.3">
      <c r="A276" s="5">
        <v>3.625141148</v>
      </c>
      <c r="B276" s="11">
        <v>3.097844974</v>
      </c>
      <c r="C276" s="17">
        <v>2.529892249</v>
      </c>
      <c r="D276">
        <v>2.4700000000000002</v>
      </c>
      <c r="F276" s="25">
        <f t="shared" si="12"/>
        <v>13.141648342922759</v>
      </c>
      <c r="G276" s="29">
        <f t="shared" si="13"/>
        <v>9.5966434829370613</v>
      </c>
      <c r="H276" s="31">
        <f t="shared" si="14"/>
        <v>6.4003547915502779</v>
      </c>
    </row>
    <row r="277" spans="1:8" x14ac:dyDescent="0.3">
      <c r="A277" s="5">
        <v>0.66972869000000002</v>
      </c>
      <c r="B277" s="11">
        <v>1.392067197</v>
      </c>
      <c r="C277" s="17">
        <v>2.4446033599999999</v>
      </c>
      <c r="D277">
        <v>2.4700000000000002</v>
      </c>
      <c r="F277" s="25">
        <f t="shared" si="12"/>
        <v>0.44853651820911611</v>
      </c>
      <c r="G277" s="29">
        <f t="shared" si="13"/>
        <v>1.9378510809634368</v>
      </c>
      <c r="H277" s="31">
        <f t="shared" si="14"/>
        <v>5.976085587723289</v>
      </c>
    </row>
    <row r="278" spans="1:8" x14ac:dyDescent="0.3">
      <c r="A278" s="5">
        <v>0.41062654500000001</v>
      </c>
      <c r="B278" s="11">
        <v>1.109082468</v>
      </c>
      <c r="C278" s="17">
        <v>2.4304541230000001</v>
      </c>
      <c r="D278">
        <v>2.4700000000000002</v>
      </c>
      <c r="F278" s="25">
        <f t="shared" si="12"/>
        <v>0.16861415945863703</v>
      </c>
      <c r="G278" s="29">
        <f t="shared" si="13"/>
        <v>1.2300639208249711</v>
      </c>
      <c r="H278" s="31">
        <f t="shared" si="14"/>
        <v>5.9071072440076993</v>
      </c>
    </row>
    <row r="279" spans="1:8" x14ac:dyDescent="0.3">
      <c r="A279" s="5">
        <v>1.8427076019999999</v>
      </c>
      <c r="B279" s="11">
        <v>2.1642804940000002</v>
      </c>
      <c r="C279" s="17">
        <v>2.4832140250000001</v>
      </c>
      <c r="D279">
        <v>2.4700000000000002</v>
      </c>
      <c r="F279" s="25">
        <f t="shared" si="12"/>
        <v>3.3955713064685904</v>
      </c>
      <c r="G279" s="29">
        <f t="shared" si="13"/>
        <v>4.6841100567088851</v>
      </c>
      <c r="H279" s="31">
        <f t="shared" si="14"/>
        <v>6.1663518939567012</v>
      </c>
    </row>
    <row r="280" spans="1:8" x14ac:dyDescent="0.3">
      <c r="A280" s="5">
        <v>3.2454908900000001</v>
      </c>
      <c r="B280" s="11">
        <v>2.8828870379999998</v>
      </c>
      <c r="C280" s="17">
        <v>2.5191443520000001</v>
      </c>
      <c r="D280">
        <v>2.4700000000000002</v>
      </c>
      <c r="F280" s="25">
        <f t="shared" si="12"/>
        <v>10.533211117072993</v>
      </c>
      <c r="G280" s="29">
        <f t="shared" si="13"/>
        <v>8.3110376738684124</v>
      </c>
      <c r="H280" s="31">
        <f t="shared" si="14"/>
        <v>6.3460882662135001</v>
      </c>
    </row>
    <row r="281" spans="1:8" x14ac:dyDescent="0.3">
      <c r="A281" s="5">
        <v>1.44901883</v>
      </c>
      <c r="B281" s="11">
        <v>1.9460426930000001</v>
      </c>
      <c r="C281" s="17">
        <v>2.4723021350000001</v>
      </c>
      <c r="D281">
        <v>2.4700000000000002</v>
      </c>
      <c r="F281" s="25">
        <f t="shared" si="12"/>
        <v>2.0996555696945687</v>
      </c>
      <c r="G281" s="29">
        <f t="shared" si="13"/>
        <v>3.7870821629786926</v>
      </c>
      <c r="H281" s="31">
        <f t="shared" si="14"/>
        <v>6.1122778467255587</v>
      </c>
    </row>
    <row r="282" spans="1:8" x14ac:dyDescent="0.3">
      <c r="A282" s="5">
        <v>3.57554857</v>
      </c>
      <c r="B282" s="11">
        <v>3.0683750710000002</v>
      </c>
      <c r="C282" s="17">
        <v>2.528418754</v>
      </c>
      <c r="D282">
        <v>2.4700000000000002</v>
      </c>
      <c r="F282" s="25">
        <f t="shared" si="12"/>
        <v>12.784547576429045</v>
      </c>
      <c r="G282" s="29">
        <f t="shared" si="13"/>
        <v>9.414925576334257</v>
      </c>
      <c r="H282" s="31">
        <f t="shared" si="14"/>
        <v>6.3929013955789129</v>
      </c>
    </row>
    <row r="283" spans="1:8" x14ac:dyDescent="0.3">
      <c r="A283" s="5">
        <v>2.5688955349999998</v>
      </c>
      <c r="B283" s="11">
        <v>2.534546019</v>
      </c>
      <c r="C283" s="17">
        <v>2.5017273009999998</v>
      </c>
      <c r="D283">
        <v>2.4700000000000002</v>
      </c>
      <c r="F283" s="25">
        <f t="shared" si="12"/>
        <v>6.5992242697429351</v>
      </c>
      <c r="G283" s="29">
        <f t="shared" si="13"/>
        <v>6.4239235224287485</v>
      </c>
      <c r="H283" s="31">
        <f t="shared" si="14"/>
        <v>6.2586394885687442</v>
      </c>
    </row>
    <row r="284" spans="1:8" x14ac:dyDescent="0.3">
      <c r="A284" s="5">
        <v>0.21973326800000001</v>
      </c>
      <c r="B284" s="11">
        <v>0.793383214</v>
      </c>
      <c r="C284" s="17">
        <v>2.414669161</v>
      </c>
      <c r="D284">
        <v>2.4700000000000002</v>
      </c>
      <c r="F284" s="25">
        <f t="shared" si="12"/>
        <v>4.8282709065959828E-2</v>
      </c>
      <c r="G284" s="29">
        <f t="shared" si="13"/>
        <v>0.62945692425696975</v>
      </c>
      <c r="H284" s="31">
        <f t="shared" si="14"/>
        <v>5.8306271570844439</v>
      </c>
    </row>
    <row r="285" spans="1:8" x14ac:dyDescent="0.3">
      <c r="A285" s="5">
        <v>3.6249885559999999</v>
      </c>
      <c r="B285" s="11">
        <v>3.097752887</v>
      </c>
      <c r="C285" s="17">
        <v>2.529887644</v>
      </c>
      <c r="D285">
        <v>2.4700000000000002</v>
      </c>
      <c r="F285" s="25">
        <f t="shared" si="12"/>
        <v>13.140542031130964</v>
      </c>
      <c r="G285" s="29">
        <f t="shared" si="13"/>
        <v>9.5960729489168344</v>
      </c>
      <c r="H285" s="31">
        <f t="shared" si="14"/>
        <v>6.4003314912638709</v>
      </c>
    </row>
    <row r="286" spans="1:8" x14ac:dyDescent="0.3">
      <c r="A286" s="5">
        <v>1.0812707909999999</v>
      </c>
      <c r="B286" s="11">
        <v>1.715093567</v>
      </c>
      <c r="C286" s="17">
        <v>2.4607546779999998</v>
      </c>
      <c r="D286">
        <v>2.4700000000000002</v>
      </c>
      <c r="F286" s="25">
        <f t="shared" si="12"/>
        <v>1.1691465234697656</v>
      </c>
      <c r="G286" s="29">
        <f t="shared" si="13"/>
        <v>2.9415459435647837</v>
      </c>
      <c r="H286" s="31">
        <f t="shared" si="14"/>
        <v>6.0553135852988831</v>
      </c>
    </row>
    <row r="287" spans="1:8" x14ac:dyDescent="0.3">
      <c r="A287" s="5">
        <v>2.9602954189999999</v>
      </c>
      <c r="B287" s="11">
        <v>2.7328442860000002</v>
      </c>
      <c r="C287" s="17">
        <v>2.5116422140000001</v>
      </c>
      <c r="D287">
        <v>2.4700000000000002</v>
      </c>
      <c r="F287" s="25">
        <f t="shared" si="12"/>
        <v>8.7633489677523855</v>
      </c>
      <c r="G287" s="29">
        <f t="shared" si="13"/>
        <v>7.4684378915228509</v>
      </c>
      <c r="H287" s="31">
        <f t="shared" si="14"/>
        <v>6.3083466111468223</v>
      </c>
    </row>
    <row r="288" spans="1:8" x14ac:dyDescent="0.3">
      <c r="A288" s="5">
        <v>0.29023102499999998</v>
      </c>
      <c r="B288" s="11">
        <v>0.92861143400000001</v>
      </c>
      <c r="C288" s="17">
        <v>2.4214305719999998</v>
      </c>
      <c r="D288">
        <v>2.4700000000000002</v>
      </c>
      <c r="F288" s="25">
        <f t="shared" si="12"/>
        <v>8.4234047872550608E-2</v>
      </c>
      <c r="G288" s="29">
        <f t="shared" si="13"/>
        <v>0.86231919535553636</v>
      </c>
      <c r="H288" s="31">
        <f t="shared" si="14"/>
        <v>5.8633260150162458</v>
      </c>
    </row>
    <row r="289" spans="1:8" x14ac:dyDescent="0.3">
      <c r="A289" s="5">
        <v>4.7682119209999998</v>
      </c>
      <c r="B289" s="11">
        <v>4.1812464309999999</v>
      </c>
      <c r="C289" s="17">
        <v>2.5840623219999999</v>
      </c>
      <c r="D289">
        <v>2.4700000000000002</v>
      </c>
      <c r="F289" s="25">
        <f t="shared" si="12"/>
        <v>22.735844923566507</v>
      </c>
      <c r="G289" s="29">
        <f t="shared" si="13"/>
        <v>17.482821716750237</v>
      </c>
      <c r="H289" s="31">
        <f t="shared" si="14"/>
        <v>6.677378083980031</v>
      </c>
    </row>
    <row r="290" spans="1:8" x14ac:dyDescent="0.3">
      <c r="A290" s="5">
        <v>3.3242286449999998</v>
      </c>
      <c r="B290" s="11">
        <v>2.9257253749999999</v>
      </c>
      <c r="C290" s="17">
        <v>2.521286269</v>
      </c>
      <c r="D290">
        <v>2.4700000000000002</v>
      </c>
      <c r="F290" s="25">
        <f t="shared" si="12"/>
        <v>11.050496084238535</v>
      </c>
      <c r="G290" s="29">
        <f t="shared" si="13"/>
        <v>8.5598689699188899</v>
      </c>
      <c r="H290" s="31">
        <f t="shared" si="14"/>
        <v>6.3568844502479402</v>
      </c>
    </row>
    <row r="291" spans="1:8" x14ac:dyDescent="0.3">
      <c r="A291" s="5">
        <v>4.5777760000000004E-3</v>
      </c>
      <c r="B291" s="11">
        <v>-0.61643816500000004</v>
      </c>
      <c r="C291" s="17">
        <v>2.3441780919999999</v>
      </c>
      <c r="D291">
        <v>2.4700000000000002</v>
      </c>
      <c r="F291" s="25">
        <f t="shared" si="12"/>
        <v>2.0956033106176004E-5</v>
      </c>
      <c r="G291" s="29">
        <f t="shared" si="13"/>
        <v>0.37999601126856725</v>
      </c>
      <c r="H291" s="31">
        <f t="shared" si="14"/>
        <v>5.4951709270127598</v>
      </c>
    </row>
    <row r="292" spans="1:8" x14ac:dyDescent="0.3">
      <c r="A292" s="5">
        <v>0.46433912199999999</v>
      </c>
      <c r="B292" s="11">
        <v>1.176698851</v>
      </c>
      <c r="C292" s="17">
        <v>2.4338349429999999</v>
      </c>
      <c r="D292">
        <v>2.4700000000000002</v>
      </c>
      <c r="F292" s="25">
        <f t="shared" si="12"/>
        <v>0.21561082021973088</v>
      </c>
      <c r="G292" s="29">
        <f t="shared" si="13"/>
        <v>1.3846201859447202</v>
      </c>
      <c r="H292" s="31">
        <f t="shared" si="14"/>
        <v>5.9235525297678127</v>
      </c>
    </row>
    <row r="293" spans="1:8" x14ac:dyDescent="0.3">
      <c r="A293" s="5">
        <v>2.4425489059999999</v>
      </c>
      <c r="B293" s="11">
        <v>2.4711940289999998</v>
      </c>
      <c r="C293" s="17">
        <v>2.498559701</v>
      </c>
      <c r="D293">
        <v>2.4700000000000002</v>
      </c>
      <c r="F293" s="25">
        <f t="shared" si="12"/>
        <v>5.9660451582017959</v>
      </c>
      <c r="G293" s="29">
        <f t="shared" si="13"/>
        <v>6.1067999289652519</v>
      </c>
      <c r="H293" s="31">
        <f t="shared" si="14"/>
        <v>6.2428005794612096</v>
      </c>
    </row>
    <row r="294" spans="1:8" x14ac:dyDescent="0.3">
      <c r="A294" s="5">
        <v>4.3536179690000001</v>
      </c>
      <c r="B294" s="11">
        <v>3.6298197929999998</v>
      </c>
      <c r="C294" s="17">
        <v>2.5564909899999999</v>
      </c>
      <c r="D294">
        <v>2.4700000000000002</v>
      </c>
      <c r="F294" s="25">
        <f t="shared" si="12"/>
        <v>18.953989419999687</v>
      </c>
      <c r="G294" s="29">
        <f t="shared" si="13"/>
        <v>13.175591729654561</v>
      </c>
      <c r="H294" s="31">
        <f t="shared" si="14"/>
        <v>6.5356461819511793</v>
      </c>
    </row>
    <row r="295" spans="1:8" x14ac:dyDescent="0.3">
      <c r="A295" s="5">
        <v>3.8317514570000002</v>
      </c>
      <c r="B295" s="11">
        <v>3.226879534</v>
      </c>
      <c r="C295" s="17">
        <v>2.536343977</v>
      </c>
      <c r="D295">
        <v>2.4700000000000002</v>
      </c>
      <c r="F295" s="25">
        <f t="shared" si="12"/>
        <v>14.682319228221624</v>
      </c>
      <c r="G295" s="29">
        <f t="shared" si="13"/>
        <v>10.412751526948057</v>
      </c>
      <c r="H295" s="31">
        <f t="shared" si="14"/>
        <v>6.4330407696641769</v>
      </c>
    </row>
    <row r="296" spans="1:8" x14ac:dyDescent="0.3">
      <c r="A296" s="5">
        <v>1.0200811789999999</v>
      </c>
      <c r="B296" s="11">
        <v>1.672639491</v>
      </c>
      <c r="C296" s="17">
        <v>2.4586319749999999</v>
      </c>
      <c r="D296">
        <v>2.4700000000000002</v>
      </c>
      <c r="F296" s="25">
        <f t="shared" si="12"/>
        <v>1.0405656117500299</v>
      </c>
      <c r="G296" s="29">
        <f t="shared" si="13"/>
        <v>2.7977228668527392</v>
      </c>
      <c r="H296" s="31">
        <f t="shared" si="14"/>
        <v>6.0448711884924</v>
      </c>
    </row>
    <row r="297" spans="1:8" x14ac:dyDescent="0.3">
      <c r="A297" s="5">
        <v>1.314737388</v>
      </c>
      <c r="B297" s="11">
        <v>1.8657161209999999</v>
      </c>
      <c r="C297" s="17">
        <v>2.4682858059999999</v>
      </c>
      <c r="D297">
        <v>2.4700000000000002</v>
      </c>
      <c r="F297" s="25">
        <f t="shared" si="12"/>
        <v>1.7285343994050624</v>
      </c>
      <c r="G297" s="29">
        <f t="shared" si="13"/>
        <v>3.4808966441592863</v>
      </c>
      <c r="H297" s="31">
        <f t="shared" si="14"/>
        <v>6.0924348201010696</v>
      </c>
    </row>
    <row r="298" spans="1:8" x14ac:dyDescent="0.3">
      <c r="A298" s="5">
        <v>1.167332987</v>
      </c>
      <c r="B298" s="11">
        <v>1.772522473</v>
      </c>
      <c r="C298" s="17">
        <v>2.4636261240000001</v>
      </c>
      <c r="D298">
        <v>2.4700000000000002</v>
      </c>
      <c r="F298" s="25">
        <f t="shared" si="12"/>
        <v>1.3626663025383421</v>
      </c>
      <c r="G298" s="29">
        <f t="shared" si="13"/>
        <v>3.1418359172900359</v>
      </c>
      <c r="H298" s="31">
        <f t="shared" si="14"/>
        <v>6.0694536788552638</v>
      </c>
    </row>
    <row r="299" spans="1:8" x14ac:dyDescent="0.3">
      <c r="A299" s="5">
        <v>2.9525131990000002</v>
      </c>
      <c r="B299" s="11">
        <v>2.7288379620000001</v>
      </c>
      <c r="C299" s="17">
        <v>2.5114418980000002</v>
      </c>
      <c r="D299">
        <v>2.4700000000000002</v>
      </c>
      <c r="F299" s="25">
        <f t="shared" si="12"/>
        <v>8.7173341902692147</v>
      </c>
      <c r="G299" s="29">
        <f t="shared" si="13"/>
        <v>7.4465566228523139</v>
      </c>
      <c r="H299" s="31">
        <f t="shared" si="14"/>
        <v>6.3073404070298436</v>
      </c>
    </row>
    <row r="300" spans="1:8" x14ac:dyDescent="0.3">
      <c r="A300" s="5">
        <v>0.41093173</v>
      </c>
      <c r="B300" s="11">
        <v>1.109484919</v>
      </c>
      <c r="C300" s="17">
        <v>2.4304742460000002</v>
      </c>
      <c r="D300">
        <v>2.4700000000000002</v>
      </c>
      <c r="F300" s="25">
        <f t="shared" si="12"/>
        <v>0.16886488672079289</v>
      </c>
      <c r="G300" s="29">
        <f t="shared" si="13"/>
        <v>1.2309567854884367</v>
      </c>
      <c r="H300" s="31">
        <f t="shared" si="14"/>
        <v>5.907205060469269</v>
      </c>
    </row>
    <row r="301" spans="1:8" x14ac:dyDescent="0.3">
      <c r="A301" s="5">
        <v>1.563768426</v>
      </c>
      <c r="B301" s="11">
        <v>2.0119401319999999</v>
      </c>
      <c r="C301" s="17">
        <v>2.4755970070000002</v>
      </c>
      <c r="D301">
        <v>2.4700000000000002</v>
      </c>
      <c r="F301" s="25">
        <f t="shared" si="12"/>
        <v>2.4453716901545173</v>
      </c>
      <c r="G301" s="29">
        <f t="shared" si="13"/>
        <v>4.0479030947521766</v>
      </c>
      <c r="H301" s="31">
        <f t="shared" si="14"/>
        <v>6.1285805410673593</v>
      </c>
    </row>
    <row r="302" spans="1:8" x14ac:dyDescent="0.3">
      <c r="A302" s="5">
        <v>4.1100802639999996</v>
      </c>
      <c r="B302" s="11">
        <v>3.423075731</v>
      </c>
      <c r="C302" s="17">
        <v>2.5461537870000002</v>
      </c>
      <c r="D302">
        <v>2.4700000000000002</v>
      </c>
      <c r="F302" s="25">
        <f t="shared" si="12"/>
        <v>16.892759776522308</v>
      </c>
      <c r="G302" s="29">
        <f t="shared" si="13"/>
        <v>11.717447460161184</v>
      </c>
      <c r="H302" s="31">
        <f t="shared" si="14"/>
        <v>6.4828991070544424</v>
      </c>
    </row>
    <row r="303" spans="1:8" x14ac:dyDescent="0.3">
      <c r="A303" s="5">
        <v>1.189001129</v>
      </c>
      <c r="B303" s="11">
        <v>1.786603725</v>
      </c>
      <c r="C303" s="17">
        <v>2.4643301860000002</v>
      </c>
      <c r="D303">
        <v>2.4700000000000002</v>
      </c>
      <c r="F303" s="25">
        <f t="shared" si="12"/>
        <v>1.4137236847632746</v>
      </c>
      <c r="G303" s="29">
        <f t="shared" si="13"/>
        <v>3.1919528701838757</v>
      </c>
      <c r="H303" s="31">
        <f t="shared" si="14"/>
        <v>6.0729232656307959</v>
      </c>
    </row>
    <row r="304" spans="1:8" x14ac:dyDescent="0.3">
      <c r="A304" s="5">
        <v>0.103152562</v>
      </c>
      <c r="B304" s="11">
        <v>0.45910298399999999</v>
      </c>
      <c r="C304" s="17">
        <v>2.397955149</v>
      </c>
      <c r="D304">
        <v>2.4700000000000002</v>
      </c>
      <c r="F304" s="25">
        <f t="shared" si="12"/>
        <v>1.0640451047163844E-2</v>
      </c>
      <c r="G304" s="29">
        <f t="shared" si="13"/>
        <v>0.21077554991770425</v>
      </c>
      <c r="H304" s="31">
        <f t="shared" si="14"/>
        <v>5.7501888966156116</v>
      </c>
    </row>
    <row r="305" spans="1:8" x14ac:dyDescent="0.3">
      <c r="A305" s="5">
        <v>2.4945829650000002</v>
      </c>
      <c r="B305" s="11">
        <v>2.497284021</v>
      </c>
      <c r="C305" s="17">
        <v>2.4998642009999998</v>
      </c>
      <c r="D305">
        <v>2.4700000000000002</v>
      </c>
      <c r="F305" s="25">
        <f t="shared" si="12"/>
        <v>6.2229441692681924</v>
      </c>
      <c r="G305" s="29">
        <f t="shared" si="13"/>
        <v>6.2364274815419289</v>
      </c>
      <c r="H305" s="31">
        <f t="shared" si="14"/>
        <v>6.2493210234413672</v>
      </c>
    </row>
    <row r="306" spans="1:8" x14ac:dyDescent="0.3">
      <c r="A306" s="5">
        <v>1.6566972870000001</v>
      </c>
      <c r="B306" s="11">
        <v>2.0637824669999998</v>
      </c>
      <c r="C306" s="17">
        <v>2.4781891229999999</v>
      </c>
      <c r="D306">
        <v>2.4700000000000002</v>
      </c>
      <c r="F306" s="25">
        <f t="shared" si="12"/>
        <v>2.7446459007531607</v>
      </c>
      <c r="G306" s="29">
        <f t="shared" si="13"/>
        <v>4.2591980710966055</v>
      </c>
      <c r="H306" s="31">
        <f t="shared" si="14"/>
        <v>6.1414213293555084</v>
      </c>
    </row>
    <row r="307" spans="1:8" x14ac:dyDescent="0.3">
      <c r="A307" s="5">
        <v>1.44901883</v>
      </c>
      <c r="B307" s="11">
        <v>1.9460426930000001</v>
      </c>
      <c r="C307" s="17">
        <v>2.4723021350000001</v>
      </c>
      <c r="D307">
        <v>2.4700000000000002</v>
      </c>
      <c r="F307" s="25">
        <f t="shared" si="12"/>
        <v>2.0996555696945687</v>
      </c>
      <c r="G307" s="29">
        <f t="shared" si="13"/>
        <v>3.7870821629786926</v>
      </c>
      <c r="H307" s="31">
        <f t="shared" si="14"/>
        <v>6.1122778467255587</v>
      </c>
    </row>
    <row r="308" spans="1:8" x14ac:dyDescent="0.3">
      <c r="A308" s="5">
        <v>3.8760032959999999</v>
      </c>
      <c r="B308" s="11">
        <v>3.2560834089999999</v>
      </c>
      <c r="C308" s="17">
        <v>2.5378041699999998</v>
      </c>
      <c r="D308">
        <v>2.4700000000000002</v>
      </c>
      <c r="F308" s="25">
        <f t="shared" si="12"/>
        <v>15.023401550602863</v>
      </c>
      <c r="G308" s="29">
        <f t="shared" si="13"/>
        <v>10.60207916636506</v>
      </c>
      <c r="H308" s="31">
        <f t="shared" si="14"/>
        <v>6.4404500052693878</v>
      </c>
    </row>
    <row r="309" spans="1:8" x14ac:dyDescent="0.3">
      <c r="A309" s="5">
        <v>2.7626880699999998</v>
      </c>
      <c r="B309" s="11">
        <v>2.6320745470000002</v>
      </c>
      <c r="C309" s="17">
        <v>2.5066037269999999</v>
      </c>
      <c r="D309">
        <v>2.4700000000000002</v>
      </c>
      <c r="F309" s="25">
        <f t="shared" si="12"/>
        <v>7.6324453721203236</v>
      </c>
      <c r="G309" s="29">
        <f t="shared" si="13"/>
        <v>6.9278164209652564</v>
      </c>
      <c r="H309" s="31">
        <f t="shared" si="14"/>
        <v>6.2830622442102904</v>
      </c>
    </row>
    <row r="310" spans="1:8" x14ac:dyDescent="0.3">
      <c r="A310" s="5">
        <v>0.36149174499999998</v>
      </c>
      <c r="B310" s="11">
        <v>1.0411159290000001</v>
      </c>
      <c r="C310" s="17">
        <v>2.4270557959999999</v>
      </c>
      <c r="D310">
        <v>2.4700000000000002</v>
      </c>
      <c r="F310" s="25">
        <f t="shared" si="12"/>
        <v>0.13067628170314502</v>
      </c>
      <c r="G310" s="29">
        <f t="shared" si="13"/>
        <v>1.0839223776175331</v>
      </c>
      <c r="H310" s="31">
        <f t="shared" si="14"/>
        <v>5.8905998368971932</v>
      </c>
    </row>
    <row r="311" spans="1:8" x14ac:dyDescent="0.3">
      <c r="A311" s="5">
        <v>4.0034180729999997</v>
      </c>
      <c r="B311" s="11">
        <v>3.3440656529999999</v>
      </c>
      <c r="C311" s="17">
        <v>2.5422032830000001</v>
      </c>
      <c r="D311">
        <v>2.4700000000000002</v>
      </c>
      <c r="F311" s="25">
        <f t="shared" si="12"/>
        <v>16.027356267223031</v>
      </c>
      <c r="G311" s="29">
        <f t="shared" si="13"/>
        <v>11.182775091574316</v>
      </c>
      <c r="H311" s="31">
        <f t="shared" si="14"/>
        <v>6.462797532095979</v>
      </c>
    </row>
    <row r="312" spans="1:8" x14ac:dyDescent="0.3">
      <c r="A312" s="5">
        <v>3.6146122620000001</v>
      </c>
      <c r="B312" s="11">
        <v>3.0915444490000001</v>
      </c>
      <c r="C312" s="17">
        <v>2.5295772219999999</v>
      </c>
      <c r="D312">
        <v>2.4700000000000002</v>
      </c>
      <c r="F312" s="25">
        <f t="shared" si="12"/>
        <v>13.065421804600756</v>
      </c>
      <c r="G312" s="29">
        <f t="shared" si="13"/>
        <v>9.5576470801427149</v>
      </c>
      <c r="H312" s="31">
        <f t="shared" si="14"/>
        <v>6.3987609220612365</v>
      </c>
    </row>
    <row r="313" spans="1:8" x14ac:dyDescent="0.3">
      <c r="A313" s="5">
        <v>1.1180455949999999</v>
      </c>
      <c r="B313" s="11">
        <v>1.739939825</v>
      </c>
      <c r="C313" s="17">
        <v>2.4619969909999999</v>
      </c>
      <c r="D313">
        <v>2.4700000000000002</v>
      </c>
      <c r="F313" s="25">
        <f t="shared" si="12"/>
        <v>1.2500259524989037</v>
      </c>
      <c r="G313" s="29">
        <f t="shared" si="13"/>
        <v>3.0273905946210307</v>
      </c>
      <c r="H313" s="31">
        <f t="shared" si="14"/>
        <v>6.0614291836930541</v>
      </c>
    </row>
    <row r="314" spans="1:8" x14ac:dyDescent="0.3">
      <c r="A314" s="5">
        <v>3.2554094060000001</v>
      </c>
      <c r="B314" s="11">
        <v>2.8882428249999998</v>
      </c>
      <c r="C314" s="17">
        <v>2.5194121410000001</v>
      </c>
      <c r="D314">
        <v>2.4700000000000002</v>
      </c>
      <c r="F314" s="25">
        <f t="shared" si="12"/>
        <v>10.597690400673272</v>
      </c>
      <c r="G314" s="29">
        <f t="shared" si="13"/>
        <v>8.3419466161639804</v>
      </c>
      <c r="H314" s="31">
        <f t="shared" si="14"/>
        <v>6.3474375362182043</v>
      </c>
    </row>
    <row r="315" spans="1:8" x14ac:dyDescent="0.3">
      <c r="A315" s="5">
        <v>4.4206060980000004</v>
      </c>
      <c r="B315" s="11">
        <v>3.6958445609999999</v>
      </c>
      <c r="C315" s="17">
        <v>2.5597922280000001</v>
      </c>
      <c r="D315">
        <v>2.4700000000000002</v>
      </c>
      <c r="F315" s="25">
        <f t="shared" si="12"/>
        <v>19.541758273674787</v>
      </c>
      <c r="G315" s="29">
        <f t="shared" si="13"/>
        <v>13.659267019073281</v>
      </c>
      <c r="H315" s="31">
        <f t="shared" si="14"/>
        <v>6.5525362505292044</v>
      </c>
    </row>
    <row r="316" spans="1:8" x14ac:dyDescent="0.3">
      <c r="A316" s="5">
        <v>1.1310159609999999</v>
      </c>
      <c r="B316" s="11">
        <v>1.748591394</v>
      </c>
      <c r="C316" s="17">
        <v>2.4624295699999998</v>
      </c>
      <c r="D316">
        <v>2.4700000000000002</v>
      </c>
      <c r="F316" s="25">
        <f t="shared" si="12"/>
        <v>1.2791971040367534</v>
      </c>
      <c r="G316" s="29">
        <f t="shared" si="13"/>
        <v>3.057571863170863</v>
      </c>
      <c r="H316" s="31">
        <f t="shared" si="14"/>
        <v>6.0635593872103843</v>
      </c>
    </row>
    <row r="317" spans="1:8" x14ac:dyDescent="0.3">
      <c r="A317" s="5">
        <v>4.0708639790000003</v>
      </c>
      <c r="B317" s="11">
        <v>3.3933784560000002</v>
      </c>
      <c r="C317" s="17">
        <v>2.5446689230000001</v>
      </c>
      <c r="D317">
        <v>2.4700000000000002</v>
      </c>
      <c r="F317" s="25">
        <f t="shared" si="12"/>
        <v>16.571933535519715</v>
      </c>
      <c r="G317" s="29">
        <f t="shared" si="13"/>
        <v>11.515017345644946</v>
      </c>
      <c r="H317" s="31">
        <f t="shared" si="14"/>
        <v>6.475339927681981</v>
      </c>
    </row>
    <row r="318" spans="1:8" x14ac:dyDescent="0.3">
      <c r="A318" s="5">
        <v>2.4701681569999998</v>
      </c>
      <c r="B318" s="11">
        <v>2.4850433600000001</v>
      </c>
      <c r="C318" s="17">
        <v>2.4992521679999999</v>
      </c>
      <c r="D318">
        <v>2.4700000000000002</v>
      </c>
      <c r="F318" s="25">
        <f t="shared" si="12"/>
        <v>6.1017307238567753</v>
      </c>
      <c r="G318" s="29">
        <f t="shared" si="13"/>
        <v>6.1754405010800903</v>
      </c>
      <c r="H318" s="31">
        <f t="shared" si="14"/>
        <v>6.2462613992526999</v>
      </c>
    </row>
    <row r="319" spans="1:8" x14ac:dyDescent="0.3">
      <c r="A319" s="5">
        <v>3.8171025730000001</v>
      </c>
      <c r="B319" s="11">
        <v>3.2173480300000001</v>
      </c>
      <c r="C319" s="17">
        <v>2.535867401</v>
      </c>
      <c r="D319">
        <v>2.4700000000000002</v>
      </c>
      <c r="F319" s="25">
        <f t="shared" si="12"/>
        <v>14.570272052803221</v>
      </c>
      <c r="G319" s="29">
        <f t="shared" si="13"/>
        <v>10.351328346144882</v>
      </c>
      <c r="H319" s="31">
        <f t="shared" si="14"/>
        <v>6.4306234754544942</v>
      </c>
    </row>
    <row r="320" spans="1:8" x14ac:dyDescent="0.3">
      <c r="A320" s="5">
        <v>3.039643544</v>
      </c>
      <c r="B320" s="11">
        <v>2.773925025</v>
      </c>
      <c r="C320" s="17">
        <v>2.5136962509999998</v>
      </c>
      <c r="D320">
        <v>2.4700000000000002</v>
      </c>
      <c r="F320" s="25">
        <f t="shared" si="12"/>
        <v>9.2394328745808796</v>
      </c>
      <c r="G320" s="29">
        <f t="shared" si="13"/>
        <v>7.6946600443212505</v>
      </c>
      <c r="H320" s="31">
        <f t="shared" si="14"/>
        <v>6.3186688422914541</v>
      </c>
    </row>
    <row r="321" spans="1:8" x14ac:dyDescent="0.3">
      <c r="A321" s="5">
        <v>4.3884090699999998</v>
      </c>
      <c r="B321" s="11">
        <v>3.6634756450000001</v>
      </c>
      <c r="C321" s="17">
        <v>2.5581737819999999</v>
      </c>
      <c r="D321">
        <v>2.4700000000000002</v>
      </c>
      <c r="F321" s="25">
        <f t="shared" si="12"/>
        <v>19.258134165658262</v>
      </c>
      <c r="G321" s="29">
        <f t="shared" si="13"/>
        <v>13.421053801508167</v>
      </c>
      <c r="H321" s="31">
        <f t="shared" si="14"/>
        <v>6.5442530989121828</v>
      </c>
    </row>
    <row r="322" spans="1:8" x14ac:dyDescent="0.3">
      <c r="A322" s="5">
        <v>4.3740653710000004</v>
      </c>
      <c r="B322" s="11">
        <v>3.6494421410000002</v>
      </c>
      <c r="C322" s="17">
        <v>2.5574721070000002</v>
      </c>
      <c r="D322">
        <v>2.4700000000000002</v>
      </c>
      <c r="F322" s="25">
        <f t="shared" si="12"/>
        <v>19.13244786978137</v>
      </c>
      <c r="G322" s="29">
        <f t="shared" si="13"/>
        <v>13.318427940506666</v>
      </c>
      <c r="H322" s="31">
        <f t="shared" si="14"/>
        <v>6.54066357808302</v>
      </c>
    </row>
    <row r="323" spans="1:8" x14ac:dyDescent="0.3">
      <c r="A323" s="5">
        <v>1.577349162</v>
      </c>
      <c r="B323" s="11">
        <v>2.0195958040000002</v>
      </c>
      <c r="C323" s="17">
        <v>2.4759797899999998</v>
      </c>
      <c r="D323">
        <v>2.4700000000000002</v>
      </c>
      <c r="F323" s="25">
        <f t="shared" ref="F323:F386" si="15">POWER(A323,2)</f>
        <v>2.4880303788621023</v>
      </c>
      <c r="G323" s="29">
        <f t="shared" ref="G323:G386" si="16">POWER(B323,2)</f>
        <v>4.0787672115344069</v>
      </c>
      <c r="H323" s="31">
        <f t="shared" ref="H323:H386" si="17">POWER(C323,2)</f>
        <v>6.1304759204884434</v>
      </c>
    </row>
    <row r="324" spans="1:8" x14ac:dyDescent="0.3">
      <c r="A324" s="5">
        <v>3.220770898</v>
      </c>
      <c r="B324" s="11">
        <v>2.869584541</v>
      </c>
      <c r="C324" s="17">
        <v>2.5184792269999998</v>
      </c>
      <c r="D324">
        <v>2.4700000000000002</v>
      </c>
      <c r="F324" s="25">
        <f t="shared" si="15"/>
        <v>10.373365177403727</v>
      </c>
      <c r="G324" s="29">
        <f t="shared" si="16"/>
        <v>8.2345154379461807</v>
      </c>
      <c r="H324" s="31">
        <f t="shared" si="17"/>
        <v>6.342737616830517</v>
      </c>
    </row>
    <row r="325" spans="1:8" x14ac:dyDescent="0.3">
      <c r="A325" s="5">
        <v>1.8283639030000001</v>
      </c>
      <c r="B325" s="11">
        <v>2.1566634759999999</v>
      </c>
      <c r="C325" s="17">
        <v>2.482833174</v>
      </c>
      <c r="D325">
        <v>2.4700000000000002</v>
      </c>
      <c r="F325" s="25">
        <f t="shared" si="15"/>
        <v>3.3429145617933935</v>
      </c>
      <c r="G325" s="29">
        <f t="shared" si="16"/>
        <v>4.6511973487124019</v>
      </c>
      <c r="H325" s="31">
        <f t="shared" si="17"/>
        <v>6.1644605699149144</v>
      </c>
    </row>
    <row r="326" spans="1:8" x14ac:dyDescent="0.3">
      <c r="A326" s="5">
        <v>2.9969176310000001</v>
      </c>
      <c r="B326" s="11">
        <v>2.7517515440000002</v>
      </c>
      <c r="C326" s="17">
        <v>2.5125875770000001</v>
      </c>
      <c r="D326">
        <v>2.4700000000000002</v>
      </c>
      <c r="F326" s="25">
        <f t="shared" si="15"/>
        <v>8.9815152869986523</v>
      </c>
      <c r="G326" s="29">
        <f t="shared" si="16"/>
        <v>7.5721365599063848</v>
      </c>
      <c r="H326" s="31">
        <f t="shared" si="17"/>
        <v>6.313096332094732</v>
      </c>
    </row>
    <row r="327" spans="1:8" x14ac:dyDescent="0.3">
      <c r="A327" s="5">
        <v>3.2012390509999999</v>
      </c>
      <c r="B327" s="11">
        <v>2.8591208039999998</v>
      </c>
      <c r="C327" s="17">
        <v>2.5179560400000001</v>
      </c>
      <c r="D327">
        <v>2.4700000000000002</v>
      </c>
      <c r="F327" s="25">
        <f t="shared" si="15"/>
        <v>10.247931461647381</v>
      </c>
      <c r="G327" s="29">
        <f t="shared" si="16"/>
        <v>8.1745717718656046</v>
      </c>
      <c r="H327" s="31">
        <f t="shared" si="17"/>
        <v>6.3401026193724821</v>
      </c>
    </row>
    <row r="328" spans="1:8" x14ac:dyDescent="0.3">
      <c r="A328" s="5">
        <v>4.9040192879999998</v>
      </c>
      <c r="B328" s="11">
        <v>4.5706465879999998</v>
      </c>
      <c r="C328" s="17">
        <v>2.6035323290000001</v>
      </c>
      <c r="D328">
        <v>2.4700000000000002</v>
      </c>
      <c r="F328" s="25">
        <f t="shared" si="15"/>
        <v>24.049405177076025</v>
      </c>
      <c r="G328" s="29">
        <f t="shared" si="16"/>
        <v>20.890810232396039</v>
      </c>
      <c r="H328" s="31">
        <f t="shared" si="17"/>
        <v>6.7783805881481651</v>
      </c>
    </row>
    <row r="329" spans="1:8" x14ac:dyDescent="0.3">
      <c r="A329" s="5">
        <v>1.4496291999999999E-2</v>
      </c>
      <c r="B329" s="11">
        <v>-0.25897036800000001</v>
      </c>
      <c r="C329" s="17">
        <v>2.362051482</v>
      </c>
      <c r="D329">
        <v>2.4700000000000002</v>
      </c>
      <c r="F329" s="25">
        <f t="shared" si="15"/>
        <v>2.1014248174926398E-4</v>
      </c>
      <c r="G329" s="29">
        <f t="shared" si="16"/>
        <v>6.7065651502055429E-2</v>
      </c>
      <c r="H329" s="31">
        <f t="shared" si="17"/>
        <v>5.5792872036183967</v>
      </c>
    </row>
    <row r="330" spans="1:8" x14ac:dyDescent="0.3">
      <c r="A330" s="5">
        <v>2.9602954000000001E-2</v>
      </c>
      <c r="B330" s="11">
        <v>-1.6826497999999999E-2</v>
      </c>
      <c r="C330" s="17">
        <v>2.3741586749999999</v>
      </c>
      <c r="D330">
        <v>2.4700000000000002</v>
      </c>
      <c r="F330" s="25">
        <f t="shared" si="15"/>
        <v>8.7633488552611607E-4</v>
      </c>
      <c r="G330" s="29">
        <f t="shared" si="16"/>
        <v>2.8313103494400396E-4</v>
      </c>
      <c r="H330" s="31">
        <f t="shared" si="17"/>
        <v>5.6366294140777553</v>
      </c>
    </row>
    <row r="331" spans="1:8" x14ac:dyDescent="0.3">
      <c r="A331" s="5">
        <v>3.4340952790000001</v>
      </c>
      <c r="B331" s="11">
        <v>2.9868536510000001</v>
      </c>
      <c r="C331" s="17">
        <v>2.524342683</v>
      </c>
      <c r="D331">
        <v>2.4700000000000002</v>
      </c>
      <c r="F331" s="25">
        <f t="shared" si="15"/>
        <v>11.793010385250088</v>
      </c>
      <c r="G331" s="29">
        <f t="shared" si="16"/>
        <v>8.9212947324920311</v>
      </c>
      <c r="H331" s="31">
        <f t="shared" si="17"/>
        <v>6.3723059812156384</v>
      </c>
    </row>
    <row r="332" spans="1:8" x14ac:dyDescent="0.3">
      <c r="A332" s="5">
        <v>1.9023712880000001</v>
      </c>
      <c r="B332" s="11">
        <v>2.1957649269999999</v>
      </c>
      <c r="C332" s="17">
        <v>2.4847882459999999</v>
      </c>
      <c r="D332">
        <v>2.4700000000000002</v>
      </c>
      <c r="F332" s="25">
        <f t="shared" si="15"/>
        <v>3.6190165174067794</v>
      </c>
      <c r="G332" s="29">
        <f t="shared" si="16"/>
        <v>4.8213836146433149</v>
      </c>
      <c r="H332" s="31">
        <f t="shared" si="17"/>
        <v>6.1741726274597557</v>
      </c>
    </row>
    <row r="333" spans="1:8" x14ac:dyDescent="0.3">
      <c r="A333" s="5">
        <v>0.86046937499999998</v>
      </c>
      <c r="B333" s="11">
        <v>1.5540777619999999</v>
      </c>
      <c r="C333" s="17">
        <v>2.4527038879999998</v>
      </c>
      <c r="D333">
        <v>2.4700000000000002</v>
      </c>
      <c r="F333" s="25">
        <f t="shared" si="15"/>
        <v>0.74040754531289055</v>
      </c>
      <c r="G333" s="29">
        <f t="shared" si="16"/>
        <v>2.4151576903429284</v>
      </c>
      <c r="H333" s="31">
        <f t="shared" si="17"/>
        <v>6.0157563622103156</v>
      </c>
    </row>
    <row r="334" spans="1:8" x14ac:dyDescent="0.3">
      <c r="A334" s="5">
        <v>2.1742912080000001</v>
      </c>
      <c r="B334" s="11">
        <v>2.3359817249999999</v>
      </c>
      <c r="C334" s="17">
        <v>2.4917990859999999</v>
      </c>
      <c r="D334">
        <v>2.4700000000000002</v>
      </c>
      <c r="F334" s="25">
        <f t="shared" si="15"/>
        <v>4.7275422571860997</v>
      </c>
      <c r="G334" s="29">
        <f t="shared" si="16"/>
        <v>5.4568106195339752</v>
      </c>
      <c r="H334" s="31">
        <f t="shared" si="17"/>
        <v>6.2090626849904345</v>
      </c>
    </row>
    <row r="335" spans="1:8" x14ac:dyDescent="0.3">
      <c r="A335" s="5">
        <v>2.3372600480000001</v>
      </c>
      <c r="B335" s="11">
        <v>2.4183239649999999</v>
      </c>
      <c r="C335" s="17">
        <v>2.4959161980000002</v>
      </c>
      <c r="D335">
        <v>2.4700000000000002</v>
      </c>
      <c r="F335" s="25">
        <f t="shared" si="15"/>
        <v>5.462784531976963</v>
      </c>
      <c r="G335" s="29">
        <f t="shared" si="16"/>
        <v>5.8482907996933209</v>
      </c>
      <c r="H335" s="31">
        <f t="shared" si="17"/>
        <v>6.2295976674387763</v>
      </c>
    </row>
    <row r="336" spans="1:8" x14ac:dyDescent="0.3">
      <c r="A336" s="5">
        <v>1.026490066</v>
      </c>
      <c r="B336" s="11">
        <v>1.677155132</v>
      </c>
      <c r="C336" s="17">
        <v>2.4588577570000001</v>
      </c>
      <c r="D336">
        <v>2.4700000000000002</v>
      </c>
      <c r="F336" s="25">
        <f t="shared" si="15"/>
        <v>1.0536818555966845</v>
      </c>
      <c r="G336" s="29">
        <f t="shared" si="16"/>
        <v>2.8128493367939376</v>
      </c>
      <c r="H336" s="31">
        <f t="shared" si="17"/>
        <v>6.0459814691590719</v>
      </c>
    </row>
    <row r="337" spans="1:8" x14ac:dyDescent="0.3">
      <c r="A337" s="5">
        <v>0.44969023699999999</v>
      </c>
      <c r="B337" s="11">
        <v>1.15886366</v>
      </c>
      <c r="C337" s="17">
        <v>2.4329431829999999</v>
      </c>
      <c r="D337">
        <v>2.4700000000000002</v>
      </c>
      <c r="F337" s="25">
        <f t="shared" si="15"/>
        <v>0.20222130925311615</v>
      </c>
      <c r="G337" s="29">
        <f t="shared" si="16"/>
        <v>1.3429649824685954</v>
      </c>
      <c r="H337" s="31">
        <f t="shared" si="17"/>
        <v>5.9192125317061706</v>
      </c>
    </row>
    <row r="338" spans="1:8" x14ac:dyDescent="0.3">
      <c r="A338" s="5">
        <v>4.1319009979999999</v>
      </c>
      <c r="B338" s="11">
        <v>3.4399559530000001</v>
      </c>
      <c r="C338" s="17">
        <v>2.546997798</v>
      </c>
      <c r="D338">
        <v>2.4700000000000002</v>
      </c>
      <c r="F338" s="25">
        <f t="shared" si="15"/>
        <v>17.072605857273395</v>
      </c>
      <c r="G338" s="29">
        <f t="shared" si="16"/>
        <v>11.833296958580139</v>
      </c>
      <c r="H338" s="31">
        <f t="shared" si="17"/>
        <v>6.4871977830168488</v>
      </c>
    </row>
    <row r="339" spans="1:8" x14ac:dyDescent="0.3">
      <c r="A339" s="5">
        <v>4.4534134950000004</v>
      </c>
      <c r="B339" s="11">
        <v>3.7301666170000001</v>
      </c>
      <c r="C339" s="17">
        <v>2.5615083310000002</v>
      </c>
      <c r="D339">
        <v>2.4700000000000002</v>
      </c>
      <c r="F339" s="25">
        <f t="shared" si="15"/>
        <v>19.832891757448117</v>
      </c>
      <c r="G339" s="29">
        <f t="shared" si="16"/>
        <v>13.914142990581226</v>
      </c>
      <c r="H339" s="31">
        <f t="shared" si="17"/>
        <v>6.5613249297824066</v>
      </c>
    </row>
    <row r="340" spans="1:8" x14ac:dyDescent="0.3">
      <c r="A340" s="5">
        <v>0.21332438100000001</v>
      </c>
      <c r="B340" s="11">
        <v>0.77943611300000004</v>
      </c>
      <c r="C340" s="17">
        <v>2.4139718060000002</v>
      </c>
      <c r="D340">
        <v>2.4700000000000002</v>
      </c>
      <c r="F340" s="25">
        <f t="shared" si="15"/>
        <v>4.5507291529033163E-2</v>
      </c>
      <c r="G340" s="29">
        <f t="shared" si="16"/>
        <v>0.60752065424854884</v>
      </c>
      <c r="H340" s="31">
        <f t="shared" si="17"/>
        <v>5.8272598801629023</v>
      </c>
    </row>
    <row r="341" spans="1:8" x14ac:dyDescent="0.3">
      <c r="A341" s="5">
        <v>2.7770317699999998</v>
      </c>
      <c r="B341" s="11">
        <v>2.6393323149999999</v>
      </c>
      <c r="C341" s="17">
        <v>2.5069666160000001</v>
      </c>
      <c r="D341">
        <v>2.4700000000000002</v>
      </c>
      <c r="F341" s="25">
        <f t="shared" si="15"/>
        <v>7.7119054515893319</v>
      </c>
      <c r="G341" s="29">
        <f t="shared" si="16"/>
        <v>6.9660750690032582</v>
      </c>
      <c r="H341" s="31">
        <f t="shared" si="17"/>
        <v>6.2848816137384924</v>
      </c>
    </row>
    <row r="342" spans="1:8" x14ac:dyDescent="0.3">
      <c r="A342" s="5">
        <v>3.0039368880000001</v>
      </c>
      <c r="B342" s="11">
        <v>2.7553861120000001</v>
      </c>
      <c r="C342" s="17">
        <v>2.512769306</v>
      </c>
      <c r="D342">
        <v>2.4700000000000002</v>
      </c>
      <c r="F342" s="25">
        <f t="shared" si="15"/>
        <v>9.0236368270871257</v>
      </c>
      <c r="G342" s="29">
        <f t="shared" si="16"/>
        <v>7.592152626202477</v>
      </c>
      <c r="H342" s="31">
        <f t="shared" si="17"/>
        <v>6.3140095851757216</v>
      </c>
    </row>
    <row r="343" spans="1:8" x14ac:dyDescent="0.3">
      <c r="A343" s="5">
        <v>3.7241737110000002</v>
      </c>
      <c r="B343" s="11">
        <v>3.1583229610000001</v>
      </c>
      <c r="C343" s="17">
        <v>2.532916148</v>
      </c>
      <c r="D343">
        <v>2.4700000000000002</v>
      </c>
      <c r="F343" s="25">
        <f t="shared" si="15"/>
        <v>13.869469829703513</v>
      </c>
      <c r="G343" s="29">
        <f t="shared" si="16"/>
        <v>9.9750039259798076</v>
      </c>
      <c r="H343" s="31">
        <f t="shared" si="17"/>
        <v>6.4156642127991574</v>
      </c>
    </row>
    <row r="344" spans="1:8" x14ac:dyDescent="0.3">
      <c r="A344" s="5">
        <v>4.3986327709999999</v>
      </c>
      <c r="B344" s="11">
        <v>3.6736210580000002</v>
      </c>
      <c r="C344" s="17">
        <v>2.5586810529999999</v>
      </c>
      <c r="D344">
        <v>2.4700000000000002</v>
      </c>
      <c r="F344" s="25">
        <f t="shared" si="15"/>
        <v>19.347970254115136</v>
      </c>
      <c r="G344" s="29">
        <f t="shared" si="16"/>
        <v>13.495491677781041</v>
      </c>
      <c r="H344" s="31">
        <f t="shared" si="17"/>
        <v>6.5468487309811882</v>
      </c>
    </row>
    <row r="345" spans="1:8" x14ac:dyDescent="0.3">
      <c r="A345" s="5">
        <v>0.255134739</v>
      </c>
      <c r="B345" s="11">
        <v>0.86502411199999996</v>
      </c>
      <c r="C345" s="17">
        <v>2.4182512059999999</v>
      </c>
      <c r="D345">
        <v>2.4700000000000002</v>
      </c>
      <c r="F345" s="25">
        <f t="shared" si="15"/>
        <v>6.5093735044598117E-2</v>
      </c>
      <c r="G345" s="29">
        <f t="shared" si="16"/>
        <v>0.74826671434138847</v>
      </c>
      <c r="H345" s="31">
        <f t="shared" si="17"/>
        <v>5.8479388953204534</v>
      </c>
    </row>
    <row r="346" spans="1:8" x14ac:dyDescent="0.3">
      <c r="A346" s="5">
        <v>2.3928037350000002</v>
      </c>
      <c r="B346" s="11">
        <v>2.4462340839999999</v>
      </c>
      <c r="C346" s="17">
        <v>2.4973117039999999</v>
      </c>
      <c r="D346">
        <v>2.4700000000000002</v>
      </c>
      <c r="F346" s="25">
        <f t="shared" si="15"/>
        <v>5.7255097142299514</v>
      </c>
      <c r="G346" s="29">
        <f t="shared" si="16"/>
        <v>5.9840611937233188</v>
      </c>
      <c r="H346" s="31">
        <f t="shared" si="17"/>
        <v>6.2365657469353835</v>
      </c>
    </row>
    <row r="347" spans="1:8" x14ac:dyDescent="0.3">
      <c r="A347" s="5">
        <v>4.3159276100000001</v>
      </c>
      <c r="B347" s="11">
        <v>3.5947451300000002</v>
      </c>
      <c r="C347" s="17">
        <v>2.5547372570000002</v>
      </c>
      <c r="D347">
        <v>2.4700000000000002</v>
      </c>
      <c r="F347" s="25">
        <f t="shared" si="15"/>
        <v>18.627231134760315</v>
      </c>
      <c r="G347" s="29">
        <f t="shared" si="16"/>
        <v>12.922192549658718</v>
      </c>
      <c r="H347" s="31">
        <f t="shared" si="17"/>
        <v>6.5266824523038851</v>
      </c>
    </row>
    <row r="348" spans="1:8" x14ac:dyDescent="0.3">
      <c r="A348" s="5">
        <v>3.6629841000000001</v>
      </c>
      <c r="B348" s="11">
        <v>3.1206857960000001</v>
      </c>
      <c r="C348" s="17">
        <v>2.53103429</v>
      </c>
      <c r="D348">
        <v>2.4700000000000002</v>
      </c>
      <c r="F348" s="25">
        <f t="shared" si="15"/>
        <v>13.41745251685281</v>
      </c>
      <c r="G348" s="29">
        <f t="shared" si="16"/>
        <v>9.7386798373561536</v>
      </c>
      <c r="H348" s="31">
        <f t="shared" si="17"/>
        <v>6.4061345771558038</v>
      </c>
    </row>
    <row r="349" spans="1:8" x14ac:dyDescent="0.3">
      <c r="A349" s="5">
        <v>2.3990600299999998</v>
      </c>
      <c r="B349" s="11">
        <v>2.4493752510000002</v>
      </c>
      <c r="C349" s="17">
        <v>2.4974687630000001</v>
      </c>
      <c r="D349">
        <v>2.4700000000000002</v>
      </c>
      <c r="F349" s="25">
        <f t="shared" si="15"/>
        <v>5.7554890275436001</v>
      </c>
      <c r="G349" s="29">
        <f t="shared" si="16"/>
        <v>5.9994391202113135</v>
      </c>
      <c r="H349" s="31">
        <f t="shared" si="17"/>
        <v>6.2373502221607504</v>
      </c>
    </row>
    <row r="350" spans="1:8" x14ac:dyDescent="0.3">
      <c r="A350" s="5">
        <v>1.9794305249999999</v>
      </c>
      <c r="B350" s="11">
        <v>2.2359896039999998</v>
      </c>
      <c r="C350" s="17">
        <v>2.4867994800000002</v>
      </c>
      <c r="D350">
        <v>2.4700000000000002</v>
      </c>
      <c r="F350" s="25">
        <f t="shared" si="15"/>
        <v>3.9181452033017754</v>
      </c>
      <c r="G350" s="29">
        <f t="shared" si="16"/>
        <v>4.9996495091960762</v>
      </c>
      <c r="H350" s="31">
        <f t="shared" si="17"/>
        <v>6.1841716537282716</v>
      </c>
    </row>
    <row r="351" spans="1:8" x14ac:dyDescent="0.3">
      <c r="A351" s="5">
        <v>1.0223701E-2</v>
      </c>
      <c r="B351" s="11">
        <v>-0.37116563400000002</v>
      </c>
      <c r="C351" s="17">
        <v>2.3564417180000001</v>
      </c>
      <c r="D351">
        <v>2.4700000000000002</v>
      </c>
      <c r="F351" s="25">
        <f t="shared" si="15"/>
        <v>1.04524062137401E-4</v>
      </c>
      <c r="G351" s="29">
        <f t="shared" si="16"/>
        <v>0.13776392786262198</v>
      </c>
      <c r="H351" s="31">
        <f t="shared" si="17"/>
        <v>5.5528175703307925</v>
      </c>
    </row>
    <row r="352" spans="1:8" x14ac:dyDescent="0.3">
      <c r="A352" s="5">
        <v>0.68788720400000003</v>
      </c>
      <c r="B352" s="11">
        <v>1.4087314129999999</v>
      </c>
      <c r="C352" s="17">
        <v>2.4454365710000001</v>
      </c>
      <c r="D352">
        <v>2.4700000000000002</v>
      </c>
      <c r="F352" s="25">
        <f t="shared" si="15"/>
        <v>0.47318880542693764</v>
      </c>
      <c r="G352" s="29">
        <f t="shared" si="16"/>
        <v>1.9845241939729763</v>
      </c>
      <c r="H352" s="31">
        <f t="shared" si="17"/>
        <v>5.9801600227842382</v>
      </c>
    </row>
    <row r="353" spans="1:8" x14ac:dyDescent="0.3">
      <c r="A353" s="5">
        <v>1.5872676779999999</v>
      </c>
      <c r="B353" s="11">
        <v>2.025168732</v>
      </c>
      <c r="C353" s="17">
        <v>2.4762584369999998</v>
      </c>
      <c r="D353">
        <v>2.4700000000000002</v>
      </c>
      <c r="F353" s="25">
        <f t="shared" si="15"/>
        <v>2.5194186816235113</v>
      </c>
      <c r="G353" s="29">
        <f t="shared" si="16"/>
        <v>4.1013083930704877</v>
      </c>
      <c r="H353" s="31">
        <f t="shared" si="17"/>
        <v>6.1318558468136821</v>
      </c>
    </row>
    <row r="354" spans="1:8" x14ac:dyDescent="0.3">
      <c r="A354" s="5">
        <v>0.86169011500000003</v>
      </c>
      <c r="B354" s="11">
        <v>1.5550327310000001</v>
      </c>
      <c r="C354" s="17">
        <v>2.452751637</v>
      </c>
      <c r="D354">
        <v>2.4700000000000002</v>
      </c>
      <c r="F354" s="25">
        <f t="shared" si="15"/>
        <v>0.7425098542887133</v>
      </c>
      <c r="G354" s="29">
        <f t="shared" si="16"/>
        <v>2.4181267944813185</v>
      </c>
      <c r="H354" s="31">
        <f t="shared" si="17"/>
        <v>6.0159905928061796</v>
      </c>
    </row>
    <row r="355" spans="1:8" x14ac:dyDescent="0.3">
      <c r="A355" s="5">
        <v>2.3148289439999998</v>
      </c>
      <c r="B355" s="11">
        <v>2.4070359990000001</v>
      </c>
      <c r="C355" s="17">
        <v>2.4953517999999999</v>
      </c>
      <c r="D355">
        <v>2.4700000000000002</v>
      </c>
      <c r="F355" s="25">
        <f t="shared" si="15"/>
        <v>5.3584330399801541</v>
      </c>
      <c r="G355" s="29">
        <f t="shared" si="16"/>
        <v>5.7938223004819287</v>
      </c>
      <c r="H355" s="31">
        <f t="shared" si="17"/>
        <v>6.2267806057632393</v>
      </c>
    </row>
    <row r="356" spans="1:8" x14ac:dyDescent="0.3">
      <c r="A356" s="5">
        <v>2.0473342080000001</v>
      </c>
      <c r="B356" s="11">
        <v>2.2710824569999999</v>
      </c>
      <c r="C356" s="17">
        <v>2.4885541230000001</v>
      </c>
      <c r="D356">
        <v>2.4700000000000002</v>
      </c>
      <c r="F356" s="25">
        <f t="shared" si="15"/>
        <v>4.1915773592469874</v>
      </c>
      <c r="G356" s="29">
        <f t="shared" si="16"/>
        <v>5.157815526493156</v>
      </c>
      <c r="H356" s="31">
        <f t="shared" si="17"/>
        <v>6.1929016231002993</v>
      </c>
    </row>
    <row r="357" spans="1:8" x14ac:dyDescent="0.3">
      <c r="A357" s="5">
        <v>2.310098575</v>
      </c>
      <c r="B357" s="11">
        <v>2.4046531230000001</v>
      </c>
      <c r="C357" s="17">
        <v>2.4952326560000002</v>
      </c>
      <c r="D357">
        <v>2.4700000000000002</v>
      </c>
      <c r="F357" s="25">
        <f t="shared" si="15"/>
        <v>5.3365554262170312</v>
      </c>
      <c r="G357" s="29">
        <f t="shared" si="16"/>
        <v>5.7823566419536538</v>
      </c>
      <c r="H357" s="31">
        <f t="shared" si="17"/>
        <v>6.2261860075688151</v>
      </c>
    </row>
    <row r="358" spans="1:8" x14ac:dyDescent="0.3">
      <c r="A358" s="5">
        <v>0.433362835</v>
      </c>
      <c r="B358" s="11">
        <v>1.138465968</v>
      </c>
      <c r="C358" s="17">
        <v>2.4319232980000001</v>
      </c>
      <c r="D358">
        <v>2.4700000000000002</v>
      </c>
      <c r="F358" s="25">
        <f t="shared" si="15"/>
        <v>0.18780334675923724</v>
      </c>
      <c r="G358" s="29">
        <f t="shared" si="16"/>
        <v>1.2961047602941771</v>
      </c>
      <c r="H358" s="31">
        <f t="shared" si="17"/>
        <v>5.9142509273551971</v>
      </c>
    </row>
    <row r="359" spans="1:8" x14ac:dyDescent="0.3">
      <c r="A359" s="5">
        <v>4.951017792</v>
      </c>
      <c r="B359" s="11">
        <v>4.8340544430000003</v>
      </c>
      <c r="C359" s="17">
        <v>2.6167027219999999</v>
      </c>
      <c r="D359">
        <v>2.4700000000000002</v>
      </c>
      <c r="F359" s="25">
        <f t="shared" si="15"/>
        <v>24.512577176700557</v>
      </c>
      <c r="G359" s="29">
        <f t="shared" si="16"/>
        <v>23.368082357888042</v>
      </c>
      <c r="H359" s="31">
        <f t="shared" si="17"/>
        <v>6.8471331353222089</v>
      </c>
    </row>
    <row r="360" spans="1:8" x14ac:dyDescent="0.3">
      <c r="A360" s="5">
        <v>0.36790063200000001</v>
      </c>
      <c r="B360" s="11">
        <v>1.0503654899999999</v>
      </c>
      <c r="C360" s="17">
        <v>2.4275182740000001</v>
      </c>
      <c r="D360">
        <v>2.4700000000000002</v>
      </c>
      <c r="F360" s="25">
        <f t="shared" si="15"/>
        <v>0.13535087502599943</v>
      </c>
      <c r="G360" s="29">
        <f t="shared" si="16"/>
        <v>1.1032676625829398</v>
      </c>
      <c r="H360" s="31">
        <f t="shared" si="17"/>
        <v>5.8928449706039396</v>
      </c>
    </row>
    <row r="361" spans="1:8" x14ac:dyDescent="0.3">
      <c r="A361" s="5">
        <v>2.8118228709999999</v>
      </c>
      <c r="B361" s="11">
        <v>2.6569674170000002</v>
      </c>
      <c r="C361" s="17">
        <v>2.5078483710000001</v>
      </c>
      <c r="D361">
        <v>2.4700000000000002</v>
      </c>
      <c r="F361" s="25">
        <f t="shared" si="15"/>
        <v>7.9063478578786821</v>
      </c>
      <c r="G361" s="29">
        <f t="shared" si="16"/>
        <v>7.0594758549996524</v>
      </c>
      <c r="H361" s="31">
        <f t="shared" si="17"/>
        <v>6.2893034519273545</v>
      </c>
    </row>
    <row r="362" spans="1:8" x14ac:dyDescent="0.3">
      <c r="A362" s="5">
        <v>8.5604419000000001E-2</v>
      </c>
      <c r="B362" s="11">
        <v>0.38278728400000001</v>
      </c>
      <c r="C362" s="17">
        <v>2.3941393639999999</v>
      </c>
      <c r="D362">
        <v>2.4700000000000002</v>
      </c>
      <c r="F362" s="25">
        <f t="shared" si="15"/>
        <v>7.3281165523275613E-3</v>
      </c>
      <c r="G362" s="29">
        <f t="shared" si="16"/>
        <v>0.14652610479209666</v>
      </c>
      <c r="H362" s="31">
        <f t="shared" si="17"/>
        <v>5.731903294254324</v>
      </c>
    </row>
    <row r="363" spans="1:8" x14ac:dyDescent="0.3">
      <c r="A363" s="5">
        <v>4.8751792959999998</v>
      </c>
      <c r="B363" s="11">
        <v>4.4605795390000003</v>
      </c>
      <c r="C363" s="17">
        <v>2.5980289769999998</v>
      </c>
      <c r="D363">
        <v>2.4700000000000002</v>
      </c>
      <c r="F363" s="25">
        <f t="shared" si="15"/>
        <v>23.767373168147053</v>
      </c>
      <c r="G363" s="29">
        <f t="shared" si="16"/>
        <v>19.896769823745455</v>
      </c>
      <c r="H363" s="31">
        <f t="shared" si="17"/>
        <v>6.7497545653316653</v>
      </c>
    </row>
    <row r="364" spans="1:8" x14ac:dyDescent="0.3">
      <c r="A364" s="5">
        <v>1.8923001800000001</v>
      </c>
      <c r="B364" s="11">
        <v>2.1904716679999998</v>
      </c>
      <c r="C364" s="17">
        <v>2.4845235830000001</v>
      </c>
      <c r="D364">
        <v>2.4700000000000002</v>
      </c>
      <c r="F364" s="25">
        <f t="shared" si="15"/>
        <v>3.580799971228033</v>
      </c>
      <c r="G364" s="29">
        <f t="shared" si="16"/>
        <v>4.7981661283107018</v>
      </c>
      <c r="H364" s="31">
        <f t="shared" si="17"/>
        <v>6.1728574344831584</v>
      </c>
    </row>
    <row r="365" spans="1:8" x14ac:dyDescent="0.3">
      <c r="A365" s="5">
        <v>0.53025910200000004</v>
      </c>
      <c r="B365" s="11">
        <v>1.25219828</v>
      </c>
      <c r="C365" s="17">
        <v>2.4376099139999998</v>
      </c>
      <c r="D365">
        <v>2.4700000000000002</v>
      </c>
      <c r="F365" s="25">
        <f t="shared" si="15"/>
        <v>0.28117471525384646</v>
      </c>
      <c r="G365" s="29">
        <f t="shared" si="16"/>
        <v>1.5680005324349584</v>
      </c>
      <c r="H365" s="31">
        <f t="shared" si="17"/>
        <v>5.9419420928310869</v>
      </c>
    </row>
    <row r="366" spans="1:8" x14ac:dyDescent="0.3">
      <c r="A366" s="5">
        <v>1.5112765889999999</v>
      </c>
      <c r="B366" s="11">
        <v>1.9820746</v>
      </c>
      <c r="C366" s="17">
        <v>2.4741037299999999</v>
      </c>
      <c r="D366">
        <v>2.4700000000000002</v>
      </c>
      <c r="F366" s="25">
        <f t="shared" si="15"/>
        <v>2.283956928459475</v>
      </c>
      <c r="G366" s="29">
        <f t="shared" si="16"/>
        <v>3.9286197199651602</v>
      </c>
      <c r="H366" s="31">
        <f t="shared" si="17"/>
        <v>6.121189266799913</v>
      </c>
    </row>
    <row r="367" spans="1:8" x14ac:dyDescent="0.3">
      <c r="A367" s="5">
        <v>2.4893948180000001</v>
      </c>
      <c r="B367" s="11">
        <v>2.4946840030000001</v>
      </c>
      <c r="C367" s="17">
        <v>2.4997341999999998</v>
      </c>
      <c r="D367">
        <v>2.4700000000000002</v>
      </c>
      <c r="F367" s="25">
        <f t="shared" si="15"/>
        <v>6.1970865598852534</v>
      </c>
      <c r="G367" s="29">
        <f t="shared" si="16"/>
        <v>6.2234482748241051</v>
      </c>
      <c r="H367" s="31">
        <f t="shared" si="17"/>
        <v>6.2486710706496389</v>
      </c>
    </row>
    <row r="368" spans="1:8" x14ac:dyDescent="0.3">
      <c r="A368" s="5">
        <v>1.470839564</v>
      </c>
      <c r="B368" s="11">
        <v>1.9587506079999999</v>
      </c>
      <c r="C368" s="17">
        <v>2.4729375299999998</v>
      </c>
      <c r="D368">
        <v>2.4700000000000002</v>
      </c>
      <c r="F368" s="25">
        <f t="shared" si="15"/>
        <v>2.1633690230277103</v>
      </c>
      <c r="G368" s="29">
        <f t="shared" si="16"/>
        <v>3.8367039443403694</v>
      </c>
      <c r="H368" s="31">
        <f t="shared" si="17"/>
        <v>6.1154200272825001</v>
      </c>
    </row>
    <row r="369" spans="1:8" x14ac:dyDescent="0.3">
      <c r="A369" s="5">
        <v>0.24201178000000001</v>
      </c>
      <c r="B369" s="11">
        <v>0.83945366799999999</v>
      </c>
      <c r="C369" s="17">
        <v>2.416972683</v>
      </c>
      <c r="D369">
        <v>2.4700000000000002</v>
      </c>
      <c r="F369" s="25">
        <f t="shared" si="15"/>
        <v>5.8569701658768403E-2</v>
      </c>
      <c r="G369" s="29">
        <f t="shared" si="16"/>
        <v>0.70468246071865415</v>
      </c>
      <c r="H369" s="31">
        <f t="shared" si="17"/>
        <v>5.841756950368219</v>
      </c>
    </row>
    <row r="370" spans="1:8" x14ac:dyDescent="0.3">
      <c r="A370" s="5">
        <v>4.8948637350000004</v>
      </c>
      <c r="B370" s="11">
        <v>4.532975317</v>
      </c>
      <c r="C370" s="17">
        <v>2.6016487659999998</v>
      </c>
      <c r="D370">
        <v>2.4700000000000002</v>
      </c>
      <c r="F370" s="25">
        <f t="shared" si="15"/>
        <v>23.959690984218152</v>
      </c>
      <c r="G370" s="29">
        <f t="shared" si="16"/>
        <v>20.54786522453125</v>
      </c>
      <c r="H370" s="31">
        <f t="shared" si="17"/>
        <v>6.7685763016293219</v>
      </c>
    </row>
    <row r="371" spans="1:8" x14ac:dyDescent="0.3">
      <c r="A371" s="5">
        <v>1.198156682</v>
      </c>
      <c r="B371" s="11">
        <v>1.792510893</v>
      </c>
      <c r="C371" s="17">
        <v>2.4646255450000001</v>
      </c>
      <c r="D371">
        <v>2.4700000000000002</v>
      </c>
      <c r="F371" s="25">
        <f t="shared" si="15"/>
        <v>1.4355794346212492</v>
      </c>
      <c r="G371" s="29">
        <f t="shared" si="16"/>
        <v>3.2130953015236576</v>
      </c>
      <c r="H371" s="31">
        <f t="shared" si="17"/>
        <v>6.0743790770665473</v>
      </c>
    </row>
    <row r="372" spans="1:8" x14ac:dyDescent="0.3">
      <c r="A372" s="5">
        <v>4.5190282909999997</v>
      </c>
      <c r="B372" s="11">
        <v>3.8035469239999999</v>
      </c>
      <c r="C372" s="17">
        <v>2.565177346</v>
      </c>
      <c r="D372">
        <v>2.4700000000000002</v>
      </c>
      <c r="F372" s="25">
        <f t="shared" si="15"/>
        <v>20.421616694858379</v>
      </c>
      <c r="G372" s="29">
        <f t="shared" si="16"/>
        <v>14.466969203069862</v>
      </c>
      <c r="H372" s="31">
        <f t="shared" si="17"/>
        <v>6.5801348164316042</v>
      </c>
    </row>
    <row r="373" spans="1:8" x14ac:dyDescent="0.3">
      <c r="A373" s="5">
        <v>1.3190099799999999</v>
      </c>
      <c r="B373" s="11">
        <v>1.8683331919999999</v>
      </c>
      <c r="C373" s="17">
        <v>2.4684166599999999</v>
      </c>
      <c r="D373">
        <v>2.4700000000000002</v>
      </c>
      <c r="F373" s="25">
        <f t="shared" si="15"/>
        <v>1.7397873273396003</v>
      </c>
      <c r="G373" s="29">
        <f t="shared" si="16"/>
        <v>3.4906689163289086</v>
      </c>
      <c r="H373" s="31">
        <f t="shared" si="17"/>
        <v>6.0930808073655554</v>
      </c>
    </row>
    <row r="374" spans="1:8" x14ac:dyDescent="0.3">
      <c r="A374" s="5">
        <v>2.767876217</v>
      </c>
      <c r="B374" s="11">
        <v>2.634699576</v>
      </c>
      <c r="C374" s="17">
        <v>2.506734979</v>
      </c>
      <c r="D374">
        <v>2.4700000000000002</v>
      </c>
      <c r="F374" s="25">
        <f t="shared" si="15"/>
        <v>7.6611387526342307</v>
      </c>
      <c r="G374" s="29">
        <f t="shared" si="16"/>
        <v>6.9416418557745798</v>
      </c>
      <c r="H374" s="31">
        <f t="shared" si="17"/>
        <v>6.2837202549421303</v>
      </c>
    </row>
    <row r="375" spans="1:8" x14ac:dyDescent="0.3">
      <c r="A375" s="5">
        <v>3.965422529</v>
      </c>
      <c r="B375" s="11">
        <v>3.3171696210000001</v>
      </c>
      <c r="C375" s="17">
        <v>2.5408584809999999</v>
      </c>
      <c r="D375">
        <v>2.4700000000000002</v>
      </c>
      <c r="F375" s="25">
        <f t="shared" si="15"/>
        <v>15.724575833500756</v>
      </c>
      <c r="G375" s="29">
        <f t="shared" si="16"/>
        <v>11.003614294485285</v>
      </c>
      <c r="H375" s="31">
        <f t="shared" si="17"/>
        <v>6.4559618204696267</v>
      </c>
    </row>
    <row r="376" spans="1:8" x14ac:dyDescent="0.3">
      <c r="A376" s="5">
        <v>2.9668568990000002</v>
      </c>
      <c r="B376" s="11">
        <v>2.736226469</v>
      </c>
      <c r="C376" s="17">
        <v>2.5118113229999999</v>
      </c>
      <c r="D376">
        <v>2.4700000000000002</v>
      </c>
      <c r="F376" s="25">
        <f t="shared" si="15"/>
        <v>8.8022398591438975</v>
      </c>
      <c r="G376" s="29">
        <f t="shared" si="16"/>
        <v>7.4869352896562082</v>
      </c>
      <c r="H376" s="31">
        <f t="shared" si="17"/>
        <v>6.3091961223510094</v>
      </c>
    </row>
    <row r="377" spans="1:8" x14ac:dyDescent="0.3">
      <c r="A377" s="5">
        <v>3.0021057770000001</v>
      </c>
      <c r="B377" s="11">
        <v>2.7544379640000001</v>
      </c>
      <c r="C377" s="17">
        <v>2.5127218980000001</v>
      </c>
      <c r="D377">
        <v>2.4700000000000002</v>
      </c>
      <c r="F377" s="25">
        <f t="shared" si="15"/>
        <v>9.0126390962967751</v>
      </c>
      <c r="G377" s="29">
        <f t="shared" si="16"/>
        <v>7.5869284975244655</v>
      </c>
      <c r="H377" s="31">
        <f t="shared" si="17"/>
        <v>6.3137713366887231</v>
      </c>
    </row>
    <row r="378" spans="1:8" x14ac:dyDescent="0.3">
      <c r="A378" s="5">
        <v>4.8121585739999997</v>
      </c>
      <c r="B378" s="11">
        <v>4.2796264730000004</v>
      </c>
      <c r="C378" s="17">
        <v>2.5889813240000001</v>
      </c>
      <c r="D378">
        <v>2.4700000000000002</v>
      </c>
      <c r="F378" s="25">
        <f t="shared" si="15"/>
        <v>23.156870141321711</v>
      </c>
      <c r="G378" s="29">
        <f t="shared" si="16"/>
        <v>18.315202748402424</v>
      </c>
      <c r="H378" s="31">
        <f t="shared" si="17"/>
        <v>6.7028242960207933</v>
      </c>
    </row>
    <row r="379" spans="1:8" x14ac:dyDescent="0.3">
      <c r="A379" s="5">
        <v>2.0317697680000002</v>
      </c>
      <c r="B379" s="11">
        <v>2.263065262</v>
      </c>
      <c r="C379" s="17">
        <v>2.4881532630000001</v>
      </c>
      <c r="D379">
        <v>2.4700000000000002</v>
      </c>
      <c r="F379" s="25">
        <f t="shared" si="15"/>
        <v>4.1280883901587746</v>
      </c>
      <c r="G379" s="29">
        <f t="shared" si="16"/>
        <v>5.1214643800711288</v>
      </c>
      <c r="H379" s="31">
        <f t="shared" si="17"/>
        <v>6.1909066601775473</v>
      </c>
    </row>
    <row r="380" spans="1:8" x14ac:dyDescent="0.3">
      <c r="A380" s="5">
        <v>4.7355571149999998</v>
      </c>
      <c r="B380" s="11">
        <v>4.1174681150000003</v>
      </c>
      <c r="C380" s="17">
        <v>2.5808734059999998</v>
      </c>
      <c r="D380">
        <v>2.4700000000000002</v>
      </c>
      <c r="F380" s="25">
        <f t="shared" si="15"/>
        <v>22.42550118942712</v>
      </c>
      <c r="G380" s="29">
        <f t="shared" si="16"/>
        <v>16.953543678041655</v>
      </c>
      <c r="H380" s="31">
        <f t="shared" si="17"/>
        <v>6.6609075377980398</v>
      </c>
    </row>
    <row r="381" spans="1:8" x14ac:dyDescent="0.3">
      <c r="A381" s="5">
        <v>4.099398785</v>
      </c>
      <c r="B381" s="11">
        <v>3.4149061949999999</v>
      </c>
      <c r="C381" s="17">
        <v>2.54574531</v>
      </c>
      <c r="D381">
        <v>2.4700000000000002</v>
      </c>
      <c r="F381" s="25">
        <f t="shared" si="15"/>
        <v>16.805070398459478</v>
      </c>
      <c r="G381" s="29">
        <f t="shared" si="16"/>
        <v>11.661584320649377</v>
      </c>
      <c r="H381" s="31">
        <f t="shared" si="17"/>
        <v>6.4808191833869966</v>
      </c>
    </row>
    <row r="382" spans="1:8" x14ac:dyDescent="0.3">
      <c r="A382" s="5">
        <v>4.3903927730000003</v>
      </c>
      <c r="B382" s="11">
        <v>3.665435606</v>
      </c>
      <c r="C382" s="17">
        <v>2.5582717800000001</v>
      </c>
      <c r="D382">
        <v>2.4700000000000002</v>
      </c>
      <c r="F382" s="25">
        <f t="shared" si="15"/>
        <v>19.275548701210631</v>
      </c>
      <c r="G382" s="29">
        <f t="shared" si="16"/>
        <v>13.435418181732587</v>
      </c>
      <c r="H382" s="31">
        <f t="shared" si="17"/>
        <v>6.5447545003443688</v>
      </c>
    </row>
    <row r="383" spans="1:8" x14ac:dyDescent="0.3">
      <c r="A383" s="5">
        <v>3.4455397200000002</v>
      </c>
      <c r="B383" s="11">
        <v>2.9933235690000002</v>
      </c>
      <c r="C383" s="17">
        <v>2.5246661779999999</v>
      </c>
      <c r="D383">
        <v>2.4700000000000002</v>
      </c>
      <c r="F383" s="25">
        <f t="shared" si="15"/>
        <v>11.87174396209768</v>
      </c>
      <c r="G383" s="29">
        <f t="shared" si="16"/>
        <v>8.9599859887308995</v>
      </c>
      <c r="H383" s="31">
        <f t="shared" si="17"/>
        <v>6.3739393103371276</v>
      </c>
    </row>
    <row r="384" spans="1:8" x14ac:dyDescent="0.3">
      <c r="A384" s="5">
        <v>3.7687307350000001</v>
      </c>
      <c r="B384" s="11">
        <v>3.186325166</v>
      </c>
      <c r="C384" s="17">
        <v>2.534316258</v>
      </c>
      <c r="D384">
        <v>2.4700000000000002</v>
      </c>
      <c r="F384" s="25">
        <f t="shared" si="15"/>
        <v>14.203331352933642</v>
      </c>
      <c r="G384" s="29">
        <f t="shared" si="16"/>
        <v>10.152668063484928</v>
      </c>
      <c r="H384" s="31">
        <f t="shared" si="17"/>
        <v>6.4227588955631232</v>
      </c>
    </row>
    <row r="385" spans="1:8" x14ac:dyDescent="0.3">
      <c r="A385" s="5">
        <v>1.0142826620000001</v>
      </c>
      <c r="B385" s="11">
        <v>1.668538807</v>
      </c>
      <c r="C385" s="17">
        <v>2.4584269399999998</v>
      </c>
      <c r="D385">
        <v>2.4700000000000002</v>
      </c>
      <c r="F385" s="25">
        <f t="shared" si="15"/>
        <v>1.0287693184338063</v>
      </c>
      <c r="G385" s="29">
        <f t="shared" si="16"/>
        <v>2.7840217504649831</v>
      </c>
      <c r="H385" s="31">
        <f t="shared" si="17"/>
        <v>6.0438630193177625</v>
      </c>
    </row>
    <row r="386" spans="1:8" x14ac:dyDescent="0.3">
      <c r="A386" s="5">
        <v>8.8351084999999996E-2</v>
      </c>
      <c r="B386" s="11">
        <v>0.39556568399999997</v>
      </c>
      <c r="C386" s="17">
        <v>2.394778284</v>
      </c>
      <c r="D386">
        <v>2.4700000000000002</v>
      </c>
      <c r="F386" s="25">
        <f t="shared" si="15"/>
        <v>7.8059142206772245E-3</v>
      </c>
      <c r="G386" s="29">
        <f t="shared" si="16"/>
        <v>0.15647221035838785</v>
      </c>
      <c r="H386" s="31">
        <f t="shared" si="17"/>
        <v>5.734963029517985</v>
      </c>
    </row>
    <row r="387" spans="1:8" x14ac:dyDescent="0.3">
      <c r="A387" s="5">
        <v>1.563768426</v>
      </c>
      <c r="B387" s="11">
        <v>2.0119401319999999</v>
      </c>
      <c r="C387" s="17">
        <v>2.4755970070000002</v>
      </c>
      <c r="D387">
        <v>2.4700000000000002</v>
      </c>
      <c r="F387" s="25">
        <f t="shared" ref="F387:F450" si="18">POWER(A387,2)</f>
        <v>2.4453716901545173</v>
      </c>
      <c r="G387" s="29">
        <f t="shared" ref="G387:G450" si="19">POWER(B387,2)</f>
        <v>4.0479030947521766</v>
      </c>
      <c r="H387" s="31">
        <f t="shared" ref="H387:H450" si="20">POWER(C387,2)</f>
        <v>6.1285805410673593</v>
      </c>
    </row>
    <row r="388" spans="1:8" x14ac:dyDescent="0.3">
      <c r="A388" s="5">
        <v>0.15335551</v>
      </c>
      <c r="B388" s="11">
        <v>0.62897840500000002</v>
      </c>
      <c r="C388" s="17">
        <v>2.4064489199999999</v>
      </c>
      <c r="D388">
        <v>2.4700000000000002</v>
      </c>
      <c r="F388" s="25">
        <f t="shared" si="18"/>
        <v>2.3517912447360099E-2</v>
      </c>
      <c r="G388" s="29">
        <f t="shared" si="19"/>
        <v>0.39561383395634403</v>
      </c>
      <c r="H388" s="31">
        <f t="shared" si="20"/>
        <v>5.7909964045691655</v>
      </c>
    </row>
    <row r="389" spans="1:8" x14ac:dyDescent="0.3">
      <c r="A389" s="5">
        <v>0.50950651599999996</v>
      </c>
      <c r="B389" s="11">
        <v>1.229208528</v>
      </c>
      <c r="C389" s="17">
        <v>2.436460426</v>
      </c>
      <c r="D389">
        <v>2.4700000000000002</v>
      </c>
      <c r="F389" s="25">
        <f t="shared" si="18"/>
        <v>0.25959688984645823</v>
      </c>
      <c r="G389" s="29">
        <f t="shared" si="19"/>
        <v>1.5109536053079269</v>
      </c>
      <c r="H389" s="31">
        <f t="shared" si="20"/>
        <v>5.9363394074641018</v>
      </c>
    </row>
    <row r="390" spans="1:8" x14ac:dyDescent="0.3">
      <c r="A390" s="5">
        <v>3.0462050230000002</v>
      </c>
      <c r="B390" s="11">
        <v>2.7773413140000001</v>
      </c>
      <c r="C390" s="17">
        <v>2.513867066</v>
      </c>
      <c r="D390">
        <v>2.4700000000000002</v>
      </c>
      <c r="F390" s="25">
        <f t="shared" si="18"/>
        <v>9.279365042150431</v>
      </c>
      <c r="G390" s="29">
        <f t="shared" si="19"/>
        <v>7.7136247744512465</v>
      </c>
      <c r="H390" s="31">
        <f t="shared" si="20"/>
        <v>6.3195276255194486</v>
      </c>
    </row>
    <row r="391" spans="1:8" x14ac:dyDescent="0.3">
      <c r="A391" s="5">
        <v>1.181524094</v>
      </c>
      <c r="B391" s="11">
        <v>1.781760665</v>
      </c>
      <c r="C391" s="17">
        <v>2.4640880329999999</v>
      </c>
      <c r="D391">
        <v>2.4700000000000002</v>
      </c>
      <c r="F391" s="25">
        <f t="shared" si="18"/>
        <v>1.3959991847025208</v>
      </c>
      <c r="G391" s="29">
        <f t="shared" si="19"/>
        <v>3.1746710673412419</v>
      </c>
      <c r="H391" s="31">
        <f t="shared" si="20"/>
        <v>6.0717298343738086</v>
      </c>
    </row>
    <row r="392" spans="1:8" x14ac:dyDescent="0.3">
      <c r="A392" s="5">
        <v>2.3595385599999998</v>
      </c>
      <c r="B392" s="11">
        <v>2.4295255290000002</v>
      </c>
      <c r="C392" s="17">
        <v>2.4964762760000001</v>
      </c>
      <c r="D392">
        <v>2.4700000000000002</v>
      </c>
      <c r="F392" s="25">
        <f t="shared" si="18"/>
        <v>5.5674222161268725</v>
      </c>
      <c r="G392" s="29">
        <f t="shared" si="19"/>
        <v>5.9025942960627305</v>
      </c>
      <c r="H392" s="31">
        <f t="shared" si="20"/>
        <v>6.2323937966308289</v>
      </c>
    </row>
    <row r="393" spans="1:8" x14ac:dyDescent="0.3">
      <c r="A393" s="5">
        <v>1.1140781879999999</v>
      </c>
      <c r="B393" s="11">
        <v>1.7372818269999999</v>
      </c>
      <c r="C393" s="17">
        <v>2.4618640909999998</v>
      </c>
      <c r="D393">
        <v>2.4700000000000002</v>
      </c>
      <c r="F393" s="25">
        <f t="shared" si="18"/>
        <v>1.2411702089773631</v>
      </c>
      <c r="G393" s="29">
        <f t="shared" si="19"/>
        <v>3.0181481464244575</v>
      </c>
      <c r="H393" s="31">
        <f t="shared" si="20"/>
        <v>6.0607748025552555</v>
      </c>
    </row>
    <row r="394" spans="1:8" x14ac:dyDescent="0.3">
      <c r="A394" s="5">
        <v>3.3632923369999999</v>
      </c>
      <c r="B394" s="11">
        <v>2.947266757</v>
      </c>
      <c r="C394" s="17">
        <v>2.5223633379999999</v>
      </c>
      <c r="D394">
        <v>2.4700000000000002</v>
      </c>
      <c r="F394" s="25">
        <f t="shared" si="18"/>
        <v>11.311735344122921</v>
      </c>
      <c r="G394" s="29">
        <f t="shared" si="19"/>
        <v>8.6863813369172966</v>
      </c>
      <c r="H394" s="31">
        <f t="shared" si="20"/>
        <v>6.3623168088865016</v>
      </c>
    </row>
    <row r="395" spans="1:8" x14ac:dyDescent="0.3">
      <c r="A395" s="5">
        <v>2.4427014979999999</v>
      </c>
      <c r="B395" s="11">
        <v>2.471271336</v>
      </c>
      <c r="C395" s="17">
        <v>2.4985635670000002</v>
      </c>
      <c r="D395">
        <v>2.4700000000000002</v>
      </c>
      <c r="F395" s="25">
        <f t="shared" si="18"/>
        <v>5.9667906083314435</v>
      </c>
      <c r="G395" s="29">
        <f t="shared" si="19"/>
        <v>6.1071820161352255</v>
      </c>
      <c r="H395" s="31">
        <f t="shared" si="20"/>
        <v>6.2428198983397643</v>
      </c>
    </row>
    <row r="396" spans="1:8" x14ac:dyDescent="0.3">
      <c r="A396" s="5">
        <v>1.1290322580000001</v>
      </c>
      <c r="B396" s="11">
        <v>1.7472714890000001</v>
      </c>
      <c r="C396" s="17">
        <v>2.4623635739999998</v>
      </c>
      <c r="D396">
        <v>2.4700000000000002</v>
      </c>
      <c r="F396" s="25">
        <f t="shared" si="18"/>
        <v>1.2747138396045787</v>
      </c>
      <c r="G396" s="29">
        <f t="shared" si="19"/>
        <v>3.0529576562722776</v>
      </c>
      <c r="H396" s="31">
        <f t="shared" si="20"/>
        <v>6.0632343705620526</v>
      </c>
    </row>
    <row r="397" spans="1:8" x14ac:dyDescent="0.3">
      <c r="A397" s="5">
        <v>4.5786919770000001</v>
      </c>
      <c r="B397" s="11">
        <v>3.8769658840000001</v>
      </c>
      <c r="C397" s="17">
        <v>2.5688482939999999</v>
      </c>
      <c r="D397">
        <v>2.4700000000000002</v>
      </c>
      <c r="F397" s="25">
        <f t="shared" si="18"/>
        <v>20.964420220244168</v>
      </c>
      <c r="G397" s="29">
        <f t="shared" si="19"/>
        <v>15.030864465699903</v>
      </c>
      <c r="H397" s="31">
        <f t="shared" si="20"/>
        <v>6.5989815575867103</v>
      </c>
    </row>
    <row r="398" spans="1:8" x14ac:dyDescent="0.3">
      <c r="A398" s="5">
        <v>1.355632191</v>
      </c>
      <c r="B398" s="11">
        <v>1.8905908010000001</v>
      </c>
      <c r="C398" s="17">
        <v>2.4695295399999999</v>
      </c>
      <c r="D398">
        <v>2.4700000000000002</v>
      </c>
      <c r="F398" s="25">
        <f t="shared" si="18"/>
        <v>1.8377386372754605</v>
      </c>
      <c r="G398" s="29">
        <f t="shared" si="19"/>
        <v>3.574333576825822</v>
      </c>
      <c r="H398" s="31">
        <f t="shared" si="20"/>
        <v>6.0985761489326116</v>
      </c>
    </row>
    <row r="399" spans="1:8" x14ac:dyDescent="0.3">
      <c r="A399" s="5">
        <v>0.19180883200000001</v>
      </c>
      <c r="B399" s="11">
        <v>0.72997779100000004</v>
      </c>
      <c r="C399" s="17">
        <v>2.4114988899999998</v>
      </c>
      <c r="D399">
        <v>2.4700000000000002</v>
      </c>
      <c r="F399" s="25">
        <f t="shared" si="18"/>
        <v>3.679062803320423E-2</v>
      </c>
      <c r="G399" s="29">
        <f t="shared" si="19"/>
        <v>0.5328675753532397</v>
      </c>
      <c r="H399" s="31">
        <f t="shared" si="20"/>
        <v>5.8153268964712312</v>
      </c>
    </row>
    <row r="400" spans="1:8" x14ac:dyDescent="0.3">
      <c r="A400" s="5">
        <v>2.047791986</v>
      </c>
      <c r="B400" s="11">
        <v>2.2713189260000002</v>
      </c>
      <c r="C400" s="17">
        <v>2.488565946</v>
      </c>
      <c r="D400">
        <v>2.4700000000000002</v>
      </c>
      <c r="F400" s="25">
        <f t="shared" si="18"/>
        <v>4.1934520179258241</v>
      </c>
      <c r="G400" s="29">
        <f t="shared" si="19"/>
        <v>5.1588896636057946</v>
      </c>
      <c r="H400" s="31">
        <f t="shared" si="20"/>
        <v>6.1929604675908747</v>
      </c>
    </row>
    <row r="401" spans="1:8" x14ac:dyDescent="0.3">
      <c r="A401" s="5">
        <v>1.286812952</v>
      </c>
      <c r="B401" s="11">
        <v>1.8485016599999999</v>
      </c>
      <c r="C401" s="17">
        <v>2.4674250830000002</v>
      </c>
      <c r="D401">
        <v>2.4700000000000002</v>
      </c>
      <c r="F401" s="25">
        <f t="shared" si="18"/>
        <v>1.6558875734349543</v>
      </c>
      <c r="G401" s="29">
        <f t="shared" si="19"/>
        <v>3.4169583870227553</v>
      </c>
      <c r="H401" s="31">
        <f t="shared" si="20"/>
        <v>6.0881865402175581</v>
      </c>
    </row>
    <row r="402" spans="1:8" x14ac:dyDescent="0.3">
      <c r="A402" s="5">
        <v>1.9495223850000001</v>
      </c>
      <c r="B402" s="11">
        <v>2.2204315600000002</v>
      </c>
      <c r="C402" s="17">
        <v>2.4860215779999999</v>
      </c>
      <c r="D402">
        <v>2.4700000000000002</v>
      </c>
      <c r="F402" s="25">
        <f t="shared" si="18"/>
        <v>3.8006375296160884</v>
      </c>
      <c r="G402" s="29">
        <f t="shared" si="19"/>
        <v>4.9303163126440346</v>
      </c>
      <c r="H402" s="31">
        <f t="shared" si="20"/>
        <v>6.1803032862816094</v>
      </c>
    </row>
    <row r="403" spans="1:8" x14ac:dyDescent="0.3">
      <c r="A403" s="5">
        <v>3.9210180970000001</v>
      </c>
      <c r="B403" s="11">
        <v>3.2864696269999998</v>
      </c>
      <c r="C403" s="17">
        <v>2.5393234809999998</v>
      </c>
      <c r="D403">
        <v>2.4700000000000002</v>
      </c>
      <c r="F403" s="25">
        <f t="shared" si="18"/>
        <v>15.374382917001503</v>
      </c>
      <c r="G403" s="29">
        <f t="shared" si="19"/>
        <v>10.800882609193518</v>
      </c>
      <c r="H403" s="31">
        <f t="shared" si="20"/>
        <v>6.4481637411579564</v>
      </c>
    </row>
    <row r="404" spans="1:8" x14ac:dyDescent="0.3">
      <c r="A404" s="5">
        <v>1.3296914580000001</v>
      </c>
      <c r="B404" s="11">
        <v>1.8748565429999999</v>
      </c>
      <c r="C404" s="17">
        <v>2.4687428269999998</v>
      </c>
      <c r="D404">
        <v>2.4700000000000002</v>
      </c>
      <c r="F404" s="25">
        <f t="shared" si="18"/>
        <v>1.7680793734781661</v>
      </c>
      <c r="G404" s="29">
        <f t="shared" si="19"/>
        <v>3.5150870568299104</v>
      </c>
      <c r="H404" s="31">
        <f t="shared" si="20"/>
        <v>6.0946911458639512</v>
      </c>
    </row>
    <row r="405" spans="1:8" x14ac:dyDescent="0.3">
      <c r="A405" s="5">
        <v>1.026795251</v>
      </c>
      <c r="B405" s="11">
        <v>1.6773688630000001</v>
      </c>
      <c r="C405" s="17">
        <v>2.4588684430000001</v>
      </c>
      <c r="D405">
        <v>2.4700000000000002</v>
      </c>
      <c r="F405" s="25">
        <f t="shared" si="18"/>
        <v>1.054308487476153</v>
      </c>
      <c r="G405" s="29">
        <f t="shared" si="19"/>
        <v>2.8135663025619131</v>
      </c>
      <c r="H405" s="31">
        <f t="shared" si="20"/>
        <v>6.0460340199812448</v>
      </c>
    </row>
    <row r="406" spans="1:8" x14ac:dyDescent="0.3">
      <c r="A406" s="5">
        <v>2.9894405960000001</v>
      </c>
      <c r="B406" s="11">
        <v>2.7478850549999998</v>
      </c>
      <c r="C406" s="17">
        <v>2.5123942530000001</v>
      </c>
      <c r="D406">
        <v>2.4700000000000002</v>
      </c>
      <c r="F406" s="25">
        <f t="shared" si="18"/>
        <v>8.9367550770128368</v>
      </c>
      <c r="G406" s="29">
        <f t="shared" si="19"/>
        <v>7.5508722754923516</v>
      </c>
      <c r="H406" s="31">
        <f t="shared" si="20"/>
        <v>6.3121248825074288</v>
      </c>
    </row>
    <row r="407" spans="1:8" x14ac:dyDescent="0.3">
      <c r="A407" s="5">
        <v>0.96850489799999995</v>
      </c>
      <c r="B407" s="11">
        <v>1.6356617099999999</v>
      </c>
      <c r="C407" s="17">
        <v>2.4567830860000002</v>
      </c>
      <c r="D407">
        <v>2.4700000000000002</v>
      </c>
      <c r="F407" s="25">
        <f t="shared" si="18"/>
        <v>0.93800173744999027</v>
      </c>
      <c r="G407" s="29">
        <f t="shared" si="19"/>
        <v>2.6753892295601238</v>
      </c>
      <c r="H407" s="31">
        <f t="shared" si="20"/>
        <v>6.035783131655684</v>
      </c>
    </row>
    <row r="408" spans="1:8" x14ac:dyDescent="0.3">
      <c r="A408" s="5">
        <v>1.8451490829999999</v>
      </c>
      <c r="B408" s="11">
        <v>2.165576524</v>
      </c>
      <c r="C408" s="17">
        <v>2.4832788259999998</v>
      </c>
      <c r="D408">
        <v>2.4700000000000002</v>
      </c>
      <c r="F408" s="25">
        <f t="shared" si="18"/>
        <v>3.4045751384957406</v>
      </c>
      <c r="G408" s="29">
        <f t="shared" si="19"/>
        <v>4.6897216812999227</v>
      </c>
      <c r="H408" s="31">
        <f t="shared" si="20"/>
        <v>6.166673727659937</v>
      </c>
    </row>
    <row r="409" spans="1:8" x14ac:dyDescent="0.3">
      <c r="A409" s="5">
        <v>3.0318613239999999</v>
      </c>
      <c r="B409" s="11">
        <v>2.7698766369999999</v>
      </c>
      <c r="C409" s="17">
        <v>2.513493832</v>
      </c>
      <c r="D409">
        <v>2.4700000000000002</v>
      </c>
      <c r="F409" s="25">
        <f t="shared" si="18"/>
        <v>9.1921830879670328</v>
      </c>
      <c r="G409" s="29">
        <f t="shared" si="19"/>
        <v>7.6722165841984289</v>
      </c>
      <c r="H409" s="31">
        <f t="shared" si="20"/>
        <v>6.317651243502044</v>
      </c>
    </row>
    <row r="410" spans="1:8" x14ac:dyDescent="0.3">
      <c r="A410" s="5">
        <v>0.74373607600000002</v>
      </c>
      <c r="B410" s="11">
        <v>1.4581783669999999</v>
      </c>
      <c r="C410" s="17">
        <v>2.447908918</v>
      </c>
      <c r="D410">
        <v>2.4700000000000002</v>
      </c>
      <c r="F410" s="25">
        <f t="shared" si="18"/>
        <v>0.55314335074387777</v>
      </c>
      <c r="G410" s="29">
        <f t="shared" si="19"/>
        <v>2.1262841499867866</v>
      </c>
      <c r="H410" s="31">
        <f t="shared" si="20"/>
        <v>5.9922580708239304</v>
      </c>
    </row>
    <row r="411" spans="1:8" x14ac:dyDescent="0.3">
      <c r="A411" s="5">
        <v>3.125858333</v>
      </c>
      <c r="B411" s="11">
        <v>2.8190916690000001</v>
      </c>
      <c r="C411" s="17">
        <v>2.5159545830000001</v>
      </c>
      <c r="D411">
        <v>2.4700000000000002</v>
      </c>
      <c r="F411" s="25">
        <f t="shared" si="18"/>
        <v>9.7709903179855395</v>
      </c>
      <c r="G411" s="29">
        <f t="shared" si="19"/>
        <v>7.9472778382252063</v>
      </c>
      <c r="H411" s="31">
        <f t="shared" si="20"/>
        <v>6.3300274637187046</v>
      </c>
    </row>
    <row r="412" spans="1:8" x14ac:dyDescent="0.3">
      <c r="A412" s="5">
        <v>3.9252906890000001</v>
      </c>
      <c r="B412" s="11">
        <v>3.289391379</v>
      </c>
      <c r="C412" s="17">
        <v>2.539469569</v>
      </c>
      <c r="D412">
        <v>2.4700000000000002</v>
      </c>
      <c r="F412" s="25">
        <f t="shared" si="18"/>
        <v>15.407906993150096</v>
      </c>
      <c r="G412" s="29">
        <f t="shared" si="19"/>
        <v>10.820095644239522</v>
      </c>
      <c r="H412" s="31">
        <f t="shared" si="20"/>
        <v>6.4489056918770453</v>
      </c>
    </row>
    <row r="413" spans="1:8" x14ac:dyDescent="0.3">
      <c r="A413" s="5">
        <v>1.69225135</v>
      </c>
      <c r="B413" s="11">
        <v>2.083303634</v>
      </c>
      <c r="C413" s="17">
        <v>2.479165182</v>
      </c>
      <c r="D413">
        <v>2.4700000000000002</v>
      </c>
      <c r="F413" s="25">
        <f t="shared" si="18"/>
        <v>2.8637146315768227</v>
      </c>
      <c r="G413" s="29">
        <f t="shared" si="19"/>
        <v>4.3401540314376055</v>
      </c>
      <c r="H413" s="31">
        <f t="shared" si="20"/>
        <v>6.1462599996410932</v>
      </c>
    </row>
    <row r="414" spans="1:8" x14ac:dyDescent="0.3">
      <c r="A414" s="5">
        <v>3.3909115879999998</v>
      </c>
      <c r="B414" s="11">
        <v>2.962621301</v>
      </c>
      <c r="C414" s="17">
        <v>2.5231310649999998</v>
      </c>
      <c r="D414">
        <v>2.4700000000000002</v>
      </c>
      <c r="F414" s="25">
        <f t="shared" si="18"/>
        <v>11.498281397632681</v>
      </c>
      <c r="G414" s="29">
        <f t="shared" si="19"/>
        <v>8.7771249731389318</v>
      </c>
      <c r="H414" s="31">
        <f t="shared" si="20"/>
        <v>6.3661903711680337</v>
      </c>
    </row>
    <row r="415" spans="1:8" x14ac:dyDescent="0.3">
      <c r="A415" s="5">
        <v>4.3095187230000001</v>
      </c>
      <c r="B415" s="11">
        <v>3.5889129949999998</v>
      </c>
      <c r="C415" s="17">
        <v>2.5544456499999999</v>
      </c>
      <c r="D415">
        <v>2.4700000000000002</v>
      </c>
      <c r="F415" s="25">
        <f t="shared" si="18"/>
        <v>18.57195162388755</v>
      </c>
      <c r="G415" s="29">
        <f t="shared" si="19"/>
        <v>12.880296485679869</v>
      </c>
      <c r="H415" s="31">
        <f t="shared" si="20"/>
        <v>6.5251925788039218</v>
      </c>
    </row>
    <row r="416" spans="1:8" x14ac:dyDescent="0.3">
      <c r="A416" s="5">
        <v>2.9714346749999998</v>
      </c>
      <c r="B416" s="11">
        <v>2.7385866079999999</v>
      </c>
      <c r="C416" s="17">
        <v>2.5119293300000001</v>
      </c>
      <c r="D416">
        <v>2.4700000000000002</v>
      </c>
      <c r="F416" s="25">
        <f t="shared" si="18"/>
        <v>8.8294240277923546</v>
      </c>
      <c r="G416" s="29">
        <f t="shared" si="19"/>
        <v>7.4998566095169448</v>
      </c>
      <c r="H416" s="31">
        <f t="shared" si="20"/>
        <v>6.3097889589142495</v>
      </c>
    </row>
    <row r="417" spans="1:8" x14ac:dyDescent="0.3">
      <c r="A417" s="5">
        <v>1.850642415</v>
      </c>
      <c r="B417" s="11">
        <v>2.1684869070000001</v>
      </c>
      <c r="C417" s="17">
        <v>2.483424345</v>
      </c>
      <c r="D417">
        <v>2.4700000000000002</v>
      </c>
      <c r="F417" s="25">
        <f t="shared" si="18"/>
        <v>3.4248773481970325</v>
      </c>
      <c r="G417" s="29">
        <f t="shared" si="19"/>
        <v>4.7023354658304273</v>
      </c>
      <c r="H417" s="31">
        <f t="shared" si="20"/>
        <v>6.1673964773386789</v>
      </c>
    </row>
    <row r="418" spans="1:8" x14ac:dyDescent="0.3">
      <c r="A418" s="5">
        <v>0.76128421899999998</v>
      </c>
      <c r="B418" s="11">
        <v>1.4731986720000001</v>
      </c>
      <c r="C418" s="17">
        <v>2.4486599340000001</v>
      </c>
      <c r="D418">
        <v>2.4700000000000002</v>
      </c>
      <c r="F418" s="25">
        <f t="shared" si="18"/>
        <v>0.57955366209843995</v>
      </c>
      <c r="G418" s="29">
        <f t="shared" si="19"/>
        <v>2.170314327182564</v>
      </c>
      <c r="H418" s="31">
        <f t="shared" si="20"/>
        <v>5.9959354723768854</v>
      </c>
    </row>
    <row r="419" spans="1:8" x14ac:dyDescent="0.3">
      <c r="A419" s="5">
        <v>4.452803125</v>
      </c>
      <c r="B419" s="11">
        <v>3.7295140550000001</v>
      </c>
      <c r="C419" s="17">
        <v>2.5614757030000002</v>
      </c>
      <c r="D419">
        <v>2.4700000000000002</v>
      </c>
      <c r="F419" s="25">
        <f t="shared" si="18"/>
        <v>19.827455670009765</v>
      </c>
      <c r="G419" s="29">
        <f t="shared" si="19"/>
        <v>13.909275086442543</v>
      </c>
      <c r="H419" s="31">
        <f t="shared" si="20"/>
        <v>6.5611577770593454</v>
      </c>
    </row>
    <row r="420" spans="1:8" x14ac:dyDescent="0.3">
      <c r="A420" s="5">
        <v>3.4047975099999999</v>
      </c>
      <c r="B420" s="11">
        <v>2.9703838390000001</v>
      </c>
      <c r="C420" s="17">
        <v>2.5235191920000002</v>
      </c>
      <c r="D420">
        <v>2.4700000000000002</v>
      </c>
      <c r="F420" s="25">
        <f t="shared" si="18"/>
        <v>11.592646084102199</v>
      </c>
      <c r="G420" s="29">
        <f t="shared" si="19"/>
        <v>8.8231801509923784</v>
      </c>
      <c r="H420" s="31">
        <f t="shared" si="20"/>
        <v>6.3681491123923335</v>
      </c>
    </row>
    <row r="421" spans="1:8" x14ac:dyDescent="0.3">
      <c r="A421" s="5">
        <v>8.0568865000000003E-2</v>
      </c>
      <c r="B421" s="11">
        <v>0.35843101599999999</v>
      </c>
      <c r="C421" s="17">
        <v>2.3929215510000001</v>
      </c>
      <c r="D421">
        <v>2.4700000000000002</v>
      </c>
      <c r="F421" s="25">
        <f t="shared" si="18"/>
        <v>6.4913420073882252E-3</v>
      </c>
      <c r="G421" s="29">
        <f t="shared" si="19"/>
        <v>0.12847279323079225</v>
      </c>
      <c r="H421" s="31">
        <f t="shared" si="20"/>
        <v>5.7260735492402466</v>
      </c>
    </row>
    <row r="422" spans="1:8" x14ac:dyDescent="0.3">
      <c r="A422" s="5">
        <v>1.124454482</v>
      </c>
      <c r="B422" s="11">
        <v>1.7442212720000001</v>
      </c>
      <c r="C422" s="17">
        <v>2.4622110639999999</v>
      </c>
      <c r="D422">
        <v>2.4700000000000002</v>
      </c>
      <c r="F422" s="25">
        <f t="shared" si="18"/>
        <v>1.2643978820898882</v>
      </c>
      <c r="G422" s="29">
        <f t="shared" si="19"/>
        <v>3.0423078456972985</v>
      </c>
      <c r="H422" s="31">
        <f t="shared" si="20"/>
        <v>6.0624833236840114</v>
      </c>
    </row>
    <row r="423" spans="1:8" x14ac:dyDescent="0.3">
      <c r="A423" s="5">
        <v>2.2753074739999999</v>
      </c>
      <c r="B423" s="11">
        <v>2.3871169280000002</v>
      </c>
      <c r="C423" s="17">
        <v>2.4943558459999999</v>
      </c>
      <c r="D423">
        <v>2.4700000000000002</v>
      </c>
      <c r="F423" s="25">
        <f t="shared" si="18"/>
        <v>5.17702410124026</v>
      </c>
      <c r="G423" s="29">
        <f t="shared" si="19"/>
        <v>5.6983272279441577</v>
      </c>
      <c r="H423" s="31">
        <f t="shared" si="20"/>
        <v>6.221811086474375</v>
      </c>
    </row>
    <row r="424" spans="1:8" x14ac:dyDescent="0.3">
      <c r="A424" s="5">
        <v>0.98254341300000003</v>
      </c>
      <c r="B424" s="11">
        <v>1.64584123</v>
      </c>
      <c r="C424" s="17">
        <v>2.457292061</v>
      </c>
      <c r="D424">
        <v>2.4700000000000002</v>
      </c>
      <c r="F424" s="25">
        <f t="shared" si="18"/>
        <v>0.9653915584296886</v>
      </c>
      <c r="G424" s="29">
        <f t="shared" si="19"/>
        <v>2.7087933543679132</v>
      </c>
      <c r="H424" s="31">
        <f t="shared" si="20"/>
        <v>6.0382842730536277</v>
      </c>
    </row>
    <row r="425" spans="1:8" x14ac:dyDescent="0.3">
      <c r="A425" s="5">
        <v>0.86001159699999996</v>
      </c>
      <c r="B425" s="11">
        <v>1.553718511</v>
      </c>
      <c r="C425" s="17">
        <v>2.452685926</v>
      </c>
      <c r="D425">
        <v>2.4700000000000002</v>
      </c>
      <c r="F425" s="25">
        <f t="shared" si="18"/>
        <v>0.73961994697449029</v>
      </c>
      <c r="G425" s="29">
        <f t="shared" si="19"/>
        <v>2.414041211424057</v>
      </c>
      <c r="H425" s="31">
        <f t="shared" si="20"/>
        <v>6.0156682515984778</v>
      </c>
    </row>
    <row r="426" spans="1:8" x14ac:dyDescent="0.3">
      <c r="A426" s="5">
        <v>3.296151616</v>
      </c>
      <c r="B426" s="11">
        <v>2.9103640089999998</v>
      </c>
      <c r="C426" s="17">
        <v>2.5205182000000002</v>
      </c>
      <c r="D426">
        <v>2.4700000000000002</v>
      </c>
      <c r="F426" s="25">
        <f t="shared" si="18"/>
        <v>10.864615475659411</v>
      </c>
      <c r="G426" s="29">
        <f t="shared" si="19"/>
        <v>8.4702186648825517</v>
      </c>
      <c r="H426" s="31">
        <f t="shared" si="20"/>
        <v>6.353011996531241</v>
      </c>
    </row>
    <row r="427" spans="1:8" x14ac:dyDescent="0.3">
      <c r="A427" s="5">
        <v>2.085482345</v>
      </c>
      <c r="B427" s="11">
        <v>2.2906729729999999</v>
      </c>
      <c r="C427" s="17">
        <v>2.4895336490000002</v>
      </c>
      <c r="D427">
        <v>2.4700000000000002</v>
      </c>
      <c r="F427" s="25">
        <f t="shared" si="18"/>
        <v>4.3492366113066989</v>
      </c>
      <c r="G427" s="29">
        <f t="shared" si="19"/>
        <v>5.2471826692326582</v>
      </c>
      <c r="H427" s="31">
        <f t="shared" si="20"/>
        <v>6.197777789503256</v>
      </c>
    </row>
    <row r="428" spans="1:8" x14ac:dyDescent="0.3">
      <c r="A428" s="5">
        <v>3.0173650319999998</v>
      </c>
      <c r="B428" s="11">
        <v>2.7623471570000002</v>
      </c>
      <c r="C428" s="17">
        <v>2.5131173580000001</v>
      </c>
      <c r="D428">
        <v>2.4700000000000002</v>
      </c>
      <c r="F428" s="25">
        <f t="shared" si="18"/>
        <v>9.1044917363363602</v>
      </c>
      <c r="G428" s="29">
        <f t="shared" si="19"/>
        <v>7.6305618157859838</v>
      </c>
      <c r="H428" s="31">
        <f t="shared" si="20"/>
        <v>6.315758855080901</v>
      </c>
    </row>
    <row r="429" spans="1:8" x14ac:dyDescent="0.3">
      <c r="A429" s="5">
        <v>4.0417188020000001</v>
      </c>
      <c r="B429" s="11">
        <v>3.3718097889999998</v>
      </c>
      <c r="C429" s="17">
        <v>2.5435904890000001</v>
      </c>
      <c r="D429">
        <v>2.4700000000000002</v>
      </c>
      <c r="F429" s="25">
        <f t="shared" si="18"/>
        <v>16.335490874440318</v>
      </c>
      <c r="G429" s="29">
        <f t="shared" si="19"/>
        <v>11.369101253196224</v>
      </c>
      <c r="H429" s="31">
        <f t="shared" si="20"/>
        <v>6.4698525757312595</v>
      </c>
    </row>
    <row r="430" spans="1:8" x14ac:dyDescent="0.3">
      <c r="A430" s="5">
        <v>4.8483230080000004</v>
      </c>
      <c r="B430" s="11">
        <v>4.3758873920000001</v>
      </c>
      <c r="C430" s="17">
        <v>2.5937943699999999</v>
      </c>
      <c r="D430">
        <v>2.4700000000000002</v>
      </c>
      <c r="F430" s="25">
        <f t="shared" si="18"/>
        <v>23.506235989902173</v>
      </c>
      <c r="G430" s="29">
        <f t="shared" si="19"/>
        <v>19.148390467464562</v>
      </c>
      <c r="H430" s="31">
        <f t="shared" si="20"/>
        <v>6.7277692338436967</v>
      </c>
    </row>
    <row r="431" spans="1:8" x14ac:dyDescent="0.3">
      <c r="A431" s="5">
        <v>2.271797845</v>
      </c>
      <c r="B431" s="11">
        <v>2.385345687</v>
      </c>
      <c r="C431" s="17">
        <v>2.4942672840000002</v>
      </c>
      <c r="D431">
        <v>2.4700000000000002</v>
      </c>
      <c r="F431" s="25">
        <f t="shared" si="18"/>
        <v>5.1610654485466441</v>
      </c>
      <c r="G431" s="29">
        <f t="shared" si="19"/>
        <v>5.6898740464895026</v>
      </c>
      <c r="H431" s="31">
        <f t="shared" si="20"/>
        <v>6.2213692840327379</v>
      </c>
    </row>
    <row r="432" spans="1:8" x14ac:dyDescent="0.3">
      <c r="A432" s="5">
        <v>3.5253456220000001</v>
      </c>
      <c r="B432" s="11">
        <v>3.0390370459999998</v>
      </c>
      <c r="C432" s="17">
        <v>2.5269518519999998</v>
      </c>
      <c r="D432">
        <v>2.4700000000000002</v>
      </c>
      <c r="F432" s="25">
        <f t="shared" si="18"/>
        <v>12.428061754554568</v>
      </c>
      <c r="G432" s="29">
        <f t="shared" si="19"/>
        <v>9.2357461669604053</v>
      </c>
      <c r="H432" s="31">
        <f t="shared" si="20"/>
        <v>6.3854856623262295</v>
      </c>
    </row>
    <row r="433" spans="1:8" x14ac:dyDescent="0.3">
      <c r="A433" s="5">
        <v>2.5302896210000001</v>
      </c>
      <c r="B433" s="11">
        <v>2.5151851509999998</v>
      </c>
      <c r="C433" s="17">
        <v>2.500759258</v>
      </c>
      <c r="D433">
        <v>2.4700000000000002</v>
      </c>
      <c r="F433" s="25">
        <f t="shared" si="18"/>
        <v>6.4023655661403245</v>
      </c>
      <c r="G433" s="29">
        <f t="shared" si="19"/>
        <v>6.3261563438108919</v>
      </c>
      <c r="H433" s="31">
        <f t="shared" si="20"/>
        <v>6.2537968664727108</v>
      </c>
    </row>
    <row r="434" spans="1:8" x14ac:dyDescent="0.3">
      <c r="A434" s="5">
        <v>4.7065645309999997</v>
      </c>
      <c r="B434" s="11">
        <v>4.0658906699999999</v>
      </c>
      <c r="C434" s="17">
        <v>2.5782945339999999</v>
      </c>
      <c r="D434">
        <v>2.4700000000000002</v>
      </c>
      <c r="F434" s="25">
        <f t="shared" si="18"/>
        <v>22.151749684467248</v>
      </c>
      <c r="G434" s="29">
        <f t="shared" si="19"/>
        <v>16.531466940393049</v>
      </c>
      <c r="H434" s="31">
        <f t="shared" si="20"/>
        <v>6.6476027040542762</v>
      </c>
    </row>
    <row r="435" spans="1:8" x14ac:dyDescent="0.3">
      <c r="A435" s="5">
        <v>0.64073610599999997</v>
      </c>
      <c r="B435" s="11">
        <v>1.364807367</v>
      </c>
      <c r="C435" s="17">
        <v>2.4432403680000001</v>
      </c>
      <c r="D435">
        <v>2.4700000000000002</v>
      </c>
      <c r="F435" s="25">
        <f t="shared" si="18"/>
        <v>0.41054275753204322</v>
      </c>
      <c r="G435" s="29">
        <f t="shared" si="19"/>
        <v>1.8626991490174729</v>
      </c>
      <c r="H435" s="31">
        <f t="shared" si="20"/>
        <v>5.9694234958247758</v>
      </c>
    </row>
    <row r="436" spans="1:8" x14ac:dyDescent="0.3">
      <c r="A436" s="5">
        <v>2.8392895290000002</v>
      </c>
      <c r="B436" s="11">
        <v>2.6709236129999998</v>
      </c>
      <c r="C436" s="17">
        <v>2.5085461809999998</v>
      </c>
      <c r="D436">
        <v>2.4700000000000002</v>
      </c>
      <c r="F436" s="25">
        <f t="shared" si="18"/>
        <v>8.0615650294890422</v>
      </c>
      <c r="G436" s="29">
        <f t="shared" si="19"/>
        <v>7.1338329464809727</v>
      </c>
      <c r="H436" s="31">
        <f t="shared" si="20"/>
        <v>6.2928039422096838</v>
      </c>
    </row>
    <row r="437" spans="1:8" x14ac:dyDescent="0.3">
      <c r="A437" s="5">
        <v>1.5697195349999999</v>
      </c>
      <c r="B437" s="11">
        <v>2.0152984410000001</v>
      </c>
      <c r="C437" s="17">
        <v>2.4757649220000002</v>
      </c>
      <c r="D437">
        <v>2.4700000000000002</v>
      </c>
      <c r="F437" s="25">
        <f t="shared" si="18"/>
        <v>2.4640194185606159</v>
      </c>
      <c r="G437" s="29">
        <f t="shared" si="19"/>
        <v>4.061427806297031</v>
      </c>
      <c r="H437" s="31">
        <f t="shared" si="20"/>
        <v>6.1294119490056671</v>
      </c>
    </row>
    <row r="438" spans="1:8" x14ac:dyDescent="0.3">
      <c r="A438" s="5">
        <v>0.91082491499999996</v>
      </c>
      <c r="B438" s="11">
        <v>1.5928540680000001</v>
      </c>
      <c r="C438" s="17">
        <v>2.4546427030000002</v>
      </c>
      <c r="D438">
        <v>2.4700000000000002</v>
      </c>
      <c r="F438" s="25">
        <f t="shared" si="18"/>
        <v>0.82960202578475717</v>
      </c>
      <c r="G438" s="29">
        <f t="shared" si="19"/>
        <v>2.5371840819441487</v>
      </c>
      <c r="H438" s="31">
        <f t="shared" si="20"/>
        <v>6.025270799391147</v>
      </c>
    </row>
    <row r="439" spans="1:8" x14ac:dyDescent="0.3">
      <c r="A439" s="5">
        <v>4.2562639239999998</v>
      </c>
      <c r="B439" s="11">
        <v>3.5418216330000001</v>
      </c>
      <c r="C439" s="17">
        <v>2.552091082</v>
      </c>
      <c r="D439">
        <v>2.4700000000000002</v>
      </c>
      <c r="F439" s="25">
        <f t="shared" si="18"/>
        <v>18.115782590743876</v>
      </c>
      <c r="G439" s="29">
        <f t="shared" si="19"/>
        <v>12.544500479986787</v>
      </c>
      <c r="H439" s="31">
        <f t="shared" si="20"/>
        <v>6.5131688908239305</v>
      </c>
    </row>
    <row r="440" spans="1:8" x14ac:dyDescent="0.3">
      <c r="A440" s="5">
        <v>3.7154759359999998</v>
      </c>
      <c r="B440" s="11">
        <v>3.152917151</v>
      </c>
      <c r="C440" s="17">
        <v>2.532645858</v>
      </c>
      <c r="D440">
        <v>2.4700000000000002</v>
      </c>
      <c r="F440" s="25">
        <f t="shared" si="18"/>
        <v>13.804761430995075</v>
      </c>
      <c r="G440" s="29">
        <f t="shared" si="19"/>
        <v>9.9408865610699575</v>
      </c>
      <c r="H440" s="31">
        <f t="shared" si="20"/>
        <v>6.4142950420445564</v>
      </c>
    </row>
    <row r="441" spans="1:8" x14ac:dyDescent="0.3">
      <c r="A441" s="5">
        <v>3.5488448739999998</v>
      </c>
      <c r="B441" s="11">
        <v>3.052709025</v>
      </c>
      <c r="C441" s="17">
        <v>2.5276354510000001</v>
      </c>
      <c r="D441">
        <v>2.4700000000000002</v>
      </c>
      <c r="F441" s="25">
        <f t="shared" si="18"/>
        <v>12.594299939716075</v>
      </c>
      <c r="G441" s="29">
        <f t="shared" si="19"/>
        <v>9.3190323913164512</v>
      </c>
      <c r="H441" s="31">
        <f t="shared" si="20"/>
        <v>6.388940973151974</v>
      </c>
    </row>
    <row r="442" spans="1:8" x14ac:dyDescent="0.3">
      <c r="A442" s="5">
        <v>1.825159459</v>
      </c>
      <c r="B442" s="11">
        <v>2.1549593109999998</v>
      </c>
      <c r="C442" s="17">
        <v>2.4827479659999998</v>
      </c>
      <c r="D442">
        <v>2.4700000000000002</v>
      </c>
      <c r="F442" s="25">
        <f t="shared" si="18"/>
        <v>3.3312070507771727</v>
      </c>
      <c r="G442" s="29">
        <f t="shared" si="19"/>
        <v>4.643849632065594</v>
      </c>
      <c r="H442" s="31">
        <f t="shared" si="20"/>
        <v>6.1640374626771361</v>
      </c>
    </row>
    <row r="443" spans="1:8" x14ac:dyDescent="0.3">
      <c r="A443" s="5">
        <v>3.9373455000000002</v>
      </c>
      <c r="B443" s="11">
        <v>3.2976700540000001</v>
      </c>
      <c r="C443" s="17">
        <v>2.539883503</v>
      </c>
      <c r="D443">
        <v>2.4700000000000002</v>
      </c>
      <c r="F443" s="25">
        <f t="shared" si="18"/>
        <v>15.502689586370252</v>
      </c>
      <c r="G443" s="29">
        <f t="shared" si="19"/>
        <v>10.874627785048364</v>
      </c>
      <c r="H443" s="31">
        <f t="shared" si="20"/>
        <v>6.451008208811551</v>
      </c>
    </row>
    <row r="444" spans="1:8" x14ac:dyDescent="0.3">
      <c r="A444" s="5">
        <v>3.464766381</v>
      </c>
      <c r="B444" s="11">
        <v>3.0042397790000002</v>
      </c>
      <c r="C444" s="17">
        <v>2.5252119890000002</v>
      </c>
      <c r="D444">
        <v>2.4700000000000002</v>
      </c>
      <c r="F444" s="25">
        <f t="shared" si="18"/>
        <v>12.004606074907837</v>
      </c>
      <c r="G444" s="29">
        <f t="shared" si="19"/>
        <v>9.0254566497259692</v>
      </c>
      <c r="H444" s="31">
        <f t="shared" si="20"/>
        <v>6.3766955893893371</v>
      </c>
    </row>
    <row r="445" spans="1:8" x14ac:dyDescent="0.3">
      <c r="A445" s="5">
        <v>4.7299111910000002</v>
      </c>
      <c r="B445" s="11">
        <v>4.1070862330000004</v>
      </c>
      <c r="C445" s="17">
        <v>2.5803543119999999</v>
      </c>
      <c r="D445">
        <v>2.4700000000000002</v>
      </c>
      <c r="F445" s="25">
        <f t="shared" si="18"/>
        <v>22.372059874747041</v>
      </c>
      <c r="G445" s="29">
        <f t="shared" si="19"/>
        <v>16.868157325298135</v>
      </c>
      <c r="H445" s="31">
        <f t="shared" si="20"/>
        <v>6.6582283754569929</v>
      </c>
    </row>
    <row r="446" spans="1:8" x14ac:dyDescent="0.3">
      <c r="A446" s="5">
        <v>1.5747550889999999</v>
      </c>
      <c r="B446" s="11">
        <v>2.0181360650000002</v>
      </c>
      <c r="C446" s="17">
        <v>2.475906803</v>
      </c>
      <c r="D446">
        <v>2.4700000000000002</v>
      </c>
      <c r="F446" s="25">
        <f t="shared" si="18"/>
        <v>2.4798535903313979</v>
      </c>
      <c r="G446" s="29">
        <f t="shared" si="19"/>
        <v>4.072873176853685</v>
      </c>
      <c r="H446" s="31">
        <f t="shared" si="20"/>
        <v>6.1301144971416806</v>
      </c>
    </row>
    <row r="447" spans="1:8" x14ac:dyDescent="0.3">
      <c r="A447" s="5">
        <v>1.0699789420000001</v>
      </c>
      <c r="B447" s="11">
        <v>1.707366272</v>
      </c>
      <c r="C447" s="17">
        <v>2.4603683140000001</v>
      </c>
      <c r="D447">
        <v>2.4700000000000002</v>
      </c>
      <c r="F447" s="25">
        <f t="shared" si="18"/>
        <v>1.1448549363234395</v>
      </c>
      <c r="G447" s="29">
        <f t="shared" si="19"/>
        <v>2.9150995867631782</v>
      </c>
      <c r="H447" s="31">
        <f t="shared" si="20"/>
        <v>6.0534122405352031</v>
      </c>
    </row>
    <row r="448" spans="1:8" x14ac:dyDescent="0.3">
      <c r="A448" s="5">
        <v>4.1422772910000001</v>
      </c>
      <c r="B448" s="11">
        <v>3.4480800139999999</v>
      </c>
      <c r="C448" s="17">
        <v>2.5474040009999999</v>
      </c>
      <c r="D448">
        <v>2.4700000000000002</v>
      </c>
      <c r="F448" s="25">
        <f t="shared" si="18"/>
        <v>17.158461155534301</v>
      </c>
      <c r="G448" s="29">
        <f t="shared" si="19"/>
        <v>11.88925578294624</v>
      </c>
      <c r="H448" s="31">
        <f t="shared" si="20"/>
        <v>6.4892671443108076</v>
      </c>
    </row>
    <row r="449" spans="1:8" x14ac:dyDescent="0.3">
      <c r="A449" s="5">
        <v>2.8083132420000001</v>
      </c>
      <c r="B449" s="11">
        <v>2.6551859439999999</v>
      </c>
      <c r="C449" s="17">
        <v>2.5077592970000002</v>
      </c>
      <c r="D449">
        <v>2.4700000000000002</v>
      </c>
      <c r="F449" s="25">
        <f t="shared" si="18"/>
        <v>7.8866232651925507</v>
      </c>
      <c r="G449" s="29">
        <f t="shared" si="19"/>
        <v>7.0500123972151707</v>
      </c>
      <c r="H449" s="31">
        <f t="shared" si="20"/>
        <v>6.2888566916899356</v>
      </c>
    </row>
    <row r="450" spans="1:8" x14ac:dyDescent="0.3">
      <c r="A450" s="5">
        <v>2.9940183720000002</v>
      </c>
      <c r="B450" s="11">
        <v>2.750252015</v>
      </c>
      <c r="C450" s="17">
        <v>2.5125126010000001</v>
      </c>
      <c r="D450">
        <v>2.4700000000000002</v>
      </c>
      <c r="F450" s="25">
        <f t="shared" si="18"/>
        <v>8.964146011873531</v>
      </c>
      <c r="G450" s="29">
        <f t="shared" si="19"/>
        <v>7.5638861460115603</v>
      </c>
      <c r="H450" s="31">
        <f t="shared" si="20"/>
        <v>6.3127195701837859</v>
      </c>
    </row>
    <row r="451" spans="1:8" x14ac:dyDescent="0.3">
      <c r="A451" s="5">
        <v>1.890774255</v>
      </c>
      <c r="B451" s="11">
        <v>2.189669039</v>
      </c>
      <c r="C451" s="17">
        <v>2.4844834520000001</v>
      </c>
      <c r="D451">
        <v>2.4700000000000002</v>
      </c>
      <c r="F451" s="25">
        <f t="shared" ref="F451:F514" si="21">POWER(A451,2)</f>
        <v>3.575027283370805</v>
      </c>
      <c r="G451" s="29">
        <f t="shared" ref="G451:G514" si="22">POWER(B451,2)</f>
        <v>4.7946505003551838</v>
      </c>
      <c r="H451" s="31">
        <f t="shared" ref="H451:H514" si="23">POWER(C451,2)</f>
        <v>6.1726580232618371</v>
      </c>
    </row>
    <row r="452" spans="1:8" x14ac:dyDescent="0.3">
      <c r="A452" s="5">
        <v>0.322580645</v>
      </c>
      <c r="B452" s="11">
        <v>0.98207153300000005</v>
      </c>
      <c r="C452" s="17">
        <v>2.4241035769999999</v>
      </c>
      <c r="D452">
        <v>2.4700000000000002</v>
      </c>
      <c r="F452" s="25">
        <f t="shared" si="21"/>
        <v>0.10405827252861602</v>
      </c>
      <c r="G452" s="29">
        <f t="shared" si="22"/>
        <v>0.96446449592897021</v>
      </c>
      <c r="H452" s="31">
        <f t="shared" si="23"/>
        <v>5.8762781520241942</v>
      </c>
    </row>
    <row r="453" spans="1:8" x14ac:dyDescent="0.3">
      <c r="A453" s="5">
        <v>1.7079683830000001</v>
      </c>
      <c r="B453" s="11">
        <v>2.0918824420000002</v>
      </c>
      <c r="C453" s="17">
        <v>2.479594122</v>
      </c>
      <c r="D453">
        <v>2.4700000000000002</v>
      </c>
      <c r="F453" s="25">
        <f t="shared" si="21"/>
        <v>2.9171559973276349</v>
      </c>
      <c r="G453" s="29">
        <f t="shared" si="22"/>
        <v>4.3759721511478844</v>
      </c>
      <c r="H453" s="31">
        <f t="shared" si="23"/>
        <v>6.1483870098569504</v>
      </c>
    </row>
    <row r="454" spans="1:8" x14ac:dyDescent="0.3">
      <c r="A454" s="5">
        <v>3.8641010769999999</v>
      </c>
      <c r="B454" s="11">
        <v>3.2481662579999999</v>
      </c>
      <c r="C454" s="17">
        <v>2.5374083129999998</v>
      </c>
      <c r="D454">
        <v>2.4700000000000002</v>
      </c>
      <c r="F454" s="25">
        <f t="shared" si="21"/>
        <v>14.931277133272559</v>
      </c>
      <c r="G454" s="29">
        <f t="shared" si="22"/>
        <v>10.550584039609722</v>
      </c>
      <c r="H454" s="31">
        <f t="shared" si="23"/>
        <v>6.4384409468815047</v>
      </c>
    </row>
    <row r="455" spans="1:8" x14ac:dyDescent="0.3">
      <c r="A455" s="5">
        <v>1.895504624</v>
      </c>
      <c r="B455" s="11">
        <v>2.192156507</v>
      </c>
      <c r="C455" s="17">
        <v>2.4846078249999999</v>
      </c>
      <c r="D455">
        <v>2.4700000000000002</v>
      </c>
      <c r="F455" s="25">
        <f t="shared" si="21"/>
        <v>3.5929377796053812</v>
      </c>
      <c r="G455" s="29">
        <f t="shared" si="22"/>
        <v>4.805550151182441</v>
      </c>
      <c r="H455" s="31">
        <f t="shared" si="23"/>
        <v>6.1732760440512298</v>
      </c>
    </row>
    <row r="456" spans="1:8" x14ac:dyDescent="0.3">
      <c r="A456" s="5">
        <v>1.4970854819999999</v>
      </c>
      <c r="B456" s="11">
        <v>1.9739221170000001</v>
      </c>
      <c r="C456" s="17">
        <v>2.4736961059999998</v>
      </c>
      <c r="D456">
        <v>2.4700000000000002</v>
      </c>
      <c r="F456" s="25">
        <f t="shared" si="21"/>
        <v>2.2412649404151721</v>
      </c>
      <c r="G456" s="29">
        <f t="shared" si="22"/>
        <v>3.8963685239817618</v>
      </c>
      <c r="H456" s="31">
        <f t="shared" si="23"/>
        <v>6.1191724248395625</v>
      </c>
    </row>
    <row r="457" spans="1:8" x14ac:dyDescent="0.3">
      <c r="A457" s="5">
        <v>2.5196081420000001</v>
      </c>
      <c r="B457" s="11">
        <v>2.5098305010000002</v>
      </c>
      <c r="C457" s="17">
        <v>2.5004915250000002</v>
      </c>
      <c r="D457">
        <v>2.4700000000000002</v>
      </c>
      <c r="F457" s="25">
        <f t="shared" si="21"/>
        <v>6.3484251892326924</v>
      </c>
      <c r="G457" s="29">
        <f t="shared" si="22"/>
        <v>6.2992491437499121</v>
      </c>
      <c r="H457" s="31">
        <f t="shared" si="23"/>
        <v>6.252457866596826</v>
      </c>
    </row>
    <row r="458" spans="1:8" x14ac:dyDescent="0.3">
      <c r="A458" s="5">
        <v>4.7244178589999999</v>
      </c>
      <c r="B458" s="11">
        <v>4.0971454559999998</v>
      </c>
      <c r="C458" s="17">
        <v>2.579857273</v>
      </c>
      <c r="D458">
        <v>2.4700000000000002</v>
      </c>
      <c r="F458" s="25">
        <f t="shared" si="21"/>
        <v>22.320124106438143</v>
      </c>
      <c r="G458" s="29">
        <f t="shared" si="22"/>
        <v>16.786600887621447</v>
      </c>
      <c r="H458" s="31">
        <f t="shared" si="23"/>
        <v>6.6556635490509963</v>
      </c>
    </row>
    <row r="459" spans="1:8" x14ac:dyDescent="0.3">
      <c r="A459" s="5">
        <v>0.53315836100000003</v>
      </c>
      <c r="B459" s="11">
        <v>1.2553565010000001</v>
      </c>
      <c r="C459" s="17">
        <v>2.4377678249999999</v>
      </c>
      <c r="D459">
        <v>2.4700000000000002</v>
      </c>
      <c r="F459" s="25">
        <f t="shared" si="21"/>
        <v>0.28425783790420633</v>
      </c>
      <c r="G459" s="29">
        <f t="shared" si="22"/>
        <v>1.5759199446029633</v>
      </c>
      <c r="H459" s="31">
        <f t="shared" si="23"/>
        <v>5.9427119686052299</v>
      </c>
    </row>
    <row r="460" spans="1:8" x14ac:dyDescent="0.3">
      <c r="A460" s="5">
        <v>3.6179692979999998</v>
      </c>
      <c r="B460" s="11">
        <v>3.0935510220000002</v>
      </c>
      <c r="C460" s="17">
        <v>2.5296775509999998</v>
      </c>
      <c r="D460">
        <v>2.4700000000000002</v>
      </c>
      <c r="F460" s="25">
        <f t="shared" si="21"/>
        <v>13.08970184127061</v>
      </c>
      <c r="G460" s="29">
        <f t="shared" si="22"/>
        <v>9.5700579257172453</v>
      </c>
      <c r="H460" s="31">
        <f t="shared" si="23"/>
        <v>6.3992685120333563</v>
      </c>
    </row>
    <row r="461" spans="1:8" x14ac:dyDescent="0.3">
      <c r="A461" s="5">
        <v>1.987060152</v>
      </c>
      <c r="B461" s="11">
        <v>2.2399481799999998</v>
      </c>
      <c r="C461" s="17">
        <v>2.4869974090000002</v>
      </c>
      <c r="D461">
        <v>2.4700000000000002</v>
      </c>
      <c r="F461" s="25">
        <f t="shared" si="21"/>
        <v>3.9484080476662631</v>
      </c>
      <c r="G461" s="29">
        <f t="shared" si="22"/>
        <v>5.0173678490853115</v>
      </c>
      <c r="H461" s="31">
        <f t="shared" si="23"/>
        <v>6.1851561123727148</v>
      </c>
    </row>
    <row r="462" spans="1:8" x14ac:dyDescent="0.3">
      <c r="A462" s="5">
        <v>4.0363780629999999</v>
      </c>
      <c r="B462" s="11">
        <v>3.3679012350000002</v>
      </c>
      <c r="C462" s="17">
        <v>2.5433950620000001</v>
      </c>
      <c r="D462">
        <v>2.4700000000000002</v>
      </c>
      <c r="F462" s="25">
        <f t="shared" si="21"/>
        <v>16.29234786746763</v>
      </c>
      <c r="G462" s="29">
        <f t="shared" si="22"/>
        <v>11.342758728714527</v>
      </c>
      <c r="H462" s="31">
        <f t="shared" si="23"/>
        <v>6.4688584414059846</v>
      </c>
    </row>
    <row r="463" spans="1:8" x14ac:dyDescent="0.3">
      <c r="A463" s="5">
        <v>3.8380077520000002</v>
      </c>
      <c r="B463" s="11">
        <v>3.2309699869999999</v>
      </c>
      <c r="C463" s="17">
        <v>2.5365484989999998</v>
      </c>
      <c r="D463">
        <v>2.4700000000000002</v>
      </c>
      <c r="F463" s="25">
        <f t="shared" si="21"/>
        <v>14.730303504412095</v>
      </c>
      <c r="G463" s="29">
        <f t="shared" si="22"/>
        <v>10.43916705689478</v>
      </c>
      <c r="H463" s="31">
        <f t="shared" si="23"/>
        <v>6.434078287779152</v>
      </c>
    </row>
    <row r="464" spans="1:8" x14ac:dyDescent="0.3">
      <c r="A464" s="5">
        <v>1.827448347</v>
      </c>
      <c r="B464" s="11">
        <v>2.1561768969999999</v>
      </c>
      <c r="C464" s="17">
        <v>2.4828088450000001</v>
      </c>
      <c r="D464">
        <v>2.4700000000000002</v>
      </c>
      <c r="F464" s="25">
        <f t="shared" si="21"/>
        <v>3.3395674609530324</v>
      </c>
      <c r="G464" s="29">
        <f t="shared" si="22"/>
        <v>4.6490988111565485</v>
      </c>
      <c r="H464" s="31">
        <f t="shared" si="23"/>
        <v>6.1643397608102344</v>
      </c>
    </row>
    <row r="465" spans="1:8" x14ac:dyDescent="0.3">
      <c r="A465" s="5">
        <v>2.4504837180000001</v>
      </c>
      <c r="B465" s="11">
        <v>2.4751730680000001</v>
      </c>
      <c r="C465" s="17">
        <v>2.4987586529999999</v>
      </c>
      <c r="D465">
        <v>2.4700000000000002</v>
      </c>
      <c r="F465" s="25">
        <f t="shared" si="21"/>
        <v>6.0048704521831038</v>
      </c>
      <c r="G465" s="29">
        <f t="shared" si="22"/>
        <v>6.1264817165525329</v>
      </c>
      <c r="H465" s="31">
        <f t="shared" si="23"/>
        <v>6.2437948059423736</v>
      </c>
    </row>
    <row r="466" spans="1:8" x14ac:dyDescent="0.3">
      <c r="A466" s="5">
        <v>3.9825128940000001</v>
      </c>
      <c r="B466" s="11">
        <v>3.3291931410000002</v>
      </c>
      <c r="C466" s="17">
        <v>2.5414596569999999</v>
      </c>
      <c r="D466">
        <v>2.4700000000000002</v>
      </c>
      <c r="F466" s="25">
        <f t="shared" si="21"/>
        <v>15.860408950876256</v>
      </c>
      <c r="G466" s="29">
        <f t="shared" si="22"/>
        <v>11.083526970081447</v>
      </c>
      <c r="H466" s="31">
        <f t="shared" si="23"/>
        <v>6.4590171881585574</v>
      </c>
    </row>
    <row r="467" spans="1:8" x14ac:dyDescent="0.3">
      <c r="A467" s="5">
        <v>0.15732291600000001</v>
      </c>
      <c r="B467" s="11">
        <v>0.64031070899999998</v>
      </c>
      <c r="C467" s="17">
        <v>2.4070155350000002</v>
      </c>
      <c r="D467">
        <v>2.4700000000000002</v>
      </c>
      <c r="F467" s="25">
        <f t="shared" si="21"/>
        <v>2.4750499898743058E-2</v>
      </c>
      <c r="G467" s="29">
        <f t="shared" si="22"/>
        <v>0.40999780406008263</v>
      </c>
      <c r="H467" s="31">
        <f t="shared" si="23"/>
        <v>5.7937237857313368</v>
      </c>
    </row>
    <row r="468" spans="1:8" x14ac:dyDescent="0.3">
      <c r="A468" s="5">
        <v>3.8976714380000002</v>
      </c>
      <c r="B468" s="11">
        <v>3.2706216819999998</v>
      </c>
      <c r="C468" s="17">
        <v>2.5385310840000002</v>
      </c>
      <c r="D468">
        <v>2.4700000000000002</v>
      </c>
      <c r="F468" s="25">
        <f t="shared" si="21"/>
        <v>15.191842638600988</v>
      </c>
      <c r="G468" s="29">
        <f t="shared" si="22"/>
        <v>10.696966186768508</v>
      </c>
      <c r="H468" s="31">
        <f t="shared" si="23"/>
        <v>6.4441400644342162</v>
      </c>
    </row>
    <row r="469" spans="1:8" x14ac:dyDescent="0.3">
      <c r="A469" s="5">
        <v>4.6482741780000003</v>
      </c>
      <c r="B469" s="11">
        <v>3.9732268030000002</v>
      </c>
      <c r="C469" s="17">
        <v>2.5736613400000001</v>
      </c>
      <c r="D469">
        <v>2.4700000000000002</v>
      </c>
      <c r="F469" s="25">
        <f t="shared" si="21"/>
        <v>21.606452833861578</v>
      </c>
      <c r="G469" s="29">
        <f t="shared" si="22"/>
        <v>15.786531228077603</v>
      </c>
      <c r="H469" s="31">
        <f t="shared" si="23"/>
        <v>6.623732693010596</v>
      </c>
    </row>
    <row r="470" spans="1:8" x14ac:dyDescent="0.3">
      <c r="A470" s="5">
        <v>2.68120365</v>
      </c>
      <c r="B470" s="11">
        <v>2.59096766</v>
      </c>
      <c r="C470" s="17">
        <v>2.5045483829999999</v>
      </c>
      <c r="D470">
        <v>2.4700000000000002</v>
      </c>
      <c r="F470" s="25">
        <f t="shared" si="21"/>
        <v>7.1888530127733228</v>
      </c>
      <c r="G470" s="29">
        <f t="shared" si="22"/>
        <v>6.7131134151658758</v>
      </c>
      <c r="H470" s="31">
        <f t="shared" si="23"/>
        <v>6.272762602787914</v>
      </c>
    </row>
    <row r="471" spans="1:8" x14ac:dyDescent="0.3">
      <c r="A471" s="5">
        <v>1.6325876640000001</v>
      </c>
      <c r="B471" s="11">
        <v>2.0504504109999999</v>
      </c>
      <c r="C471" s="17">
        <v>2.477522521</v>
      </c>
      <c r="D471">
        <v>2.4700000000000002</v>
      </c>
      <c r="F471" s="25">
        <f t="shared" si="21"/>
        <v>2.665342480644977</v>
      </c>
      <c r="G471" s="29">
        <f t="shared" si="22"/>
        <v>4.2043468879700683</v>
      </c>
      <c r="H471" s="31">
        <f t="shared" si="23"/>
        <v>6.1381178420621954</v>
      </c>
    </row>
    <row r="472" spans="1:8" x14ac:dyDescent="0.3">
      <c r="A472" s="5">
        <v>1.4156010619999999</v>
      </c>
      <c r="B472" s="11">
        <v>1.9264021549999999</v>
      </c>
      <c r="C472" s="17">
        <v>2.471320108</v>
      </c>
      <c r="D472">
        <v>2.4700000000000002</v>
      </c>
      <c r="F472" s="25">
        <f t="shared" si="21"/>
        <v>2.0039263667355276</v>
      </c>
      <c r="G472" s="29">
        <f t="shared" si="22"/>
        <v>3.7110252627886435</v>
      </c>
      <c r="H472" s="31">
        <f t="shared" si="23"/>
        <v>6.1074230762051318</v>
      </c>
    </row>
    <row r="473" spans="1:8" x14ac:dyDescent="0.3">
      <c r="A473" s="5">
        <v>2.288735618</v>
      </c>
      <c r="B473" s="11">
        <v>2.3938892530000002</v>
      </c>
      <c r="C473" s="17">
        <v>2.4946944630000001</v>
      </c>
      <c r="D473">
        <v>2.4700000000000002</v>
      </c>
      <c r="F473" s="25">
        <f t="shared" si="21"/>
        <v>5.2383107291018423</v>
      </c>
      <c r="G473" s="29">
        <f t="shared" si="22"/>
        <v>5.7307057556288994</v>
      </c>
      <c r="H473" s="31">
        <f t="shared" si="23"/>
        <v>6.2235004637228588</v>
      </c>
    </row>
    <row r="474" spans="1:8" x14ac:dyDescent="0.3">
      <c r="A474" s="5">
        <v>1.0992767109999999</v>
      </c>
      <c r="B474" s="11">
        <v>1.727318312</v>
      </c>
      <c r="C474" s="17">
        <v>2.4613659160000001</v>
      </c>
      <c r="D474">
        <v>2.4700000000000002</v>
      </c>
      <c r="F474" s="25">
        <f t="shared" si="21"/>
        <v>1.2084092873469774</v>
      </c>
      <c r="G474" s="29">
        <f t="shared" si="22"/>
        <v>2.9836285509705291</v>
      </c>
      <c r="H474" s="31">
        <f t="shared" si="23"/>
        <v>6.0583221724465197</v>
      </c>
    </row>
    <row r="475" spans="1:8" x14ac:dyDescent="0.3">
      <c r="A475" s="5">
        <v>1.586504715</v>
      </c>
      <c r="B475" s="11">
        <v>2.0247401329999999</v>
      </c>
      <c r="C475" s="17">
        <v>2.4762370069999999</v>
      </c>
      <c r="D475">
        <v>2.4700000000000002</v>
      </c>
      <c r="F475" s="25">
        <f t="shared" si="21"/>
        <v>2.5169972107172311</v>
      </c>
      <c r="G475" s="29">
        <f t="shared" si="22"/>
        <v>4.0995726061808568</v>
      </c>
      <c r="H475" s="31">
        <f t="shared" si="23"/>
        <v>6.1317497148363174</v>
      </c>
    </row>
    <row r="476" spans="1:8" x14ac:dyDescent="0.3">
      <c r="A476" s="5">
        <v>3.2430494090000002</v>
      </c>
      <c r="B476" s="11">
        <v>2.8815705440000001</v>
      </c>
      <c r="C476" s="17">
        <v>2.519078527</v>
      </c>
      <c r="D476">
        <v>2.4700000000000002</v>
      </c>
      <c r="F476" s="25">
        <f t="shared" si="21"/>
        <v>10.51736946921525</v>
      </c>
      <c r="G476" s="29">
        <f t="shared" si="22"/>
        <v>8.3034488000484572</v>
      </c>
      <c r="H476" s="31">
        <f t="shared" si="23"/>
        <v>6.3457566251924895</v>
      </c>
    </row>
    <row r="477" spans="1:8" x14ac:dyDescent="0.3">
      <c r="A477" s="5">
        <v>4.7955259870000004</v>
      </c>
      <c r="B477" s="11">
        <v>4.2403954190000004</v>
      </c>
      <c r="C477" s="17">
        <v>2.587019771</v>
      </c>
      <c r="D477">
        <v>2.4700000000000002</v>
      </c>
      <c r="F477" s="25">
        <f t="shared" si="21"/>
        <v>22.997069491992328</v>
      </c>
      <c r="G477" s="29">
        <f t="shared" si="22"/>
        <v>17.980953309476188</v>
      </c>
      <c r="H477" s="31">
        <f t="shared" si="23"/>
        <v>6.6926712955448924</v>
      </c>
    </row>
    <row r="478" spans="1:8" x14ac:dyDescent="0.3">
      <c r="A478" s="5">
        <v>0.44251838700000001</v>
      </c>
      <c r="B478" s="11">
        <v>1.14997335</v>
      </c>
      <c r="C478" s="17">
        <v>2.4324986669999999</v>
      </c>
      <c r="D478">
        <v>2.4700000000000002</v>
      </c>
      <c r="F478" s="25">
        <f t="shared" si="21"/>
        <v>0.19582252283308177</v>
      </c>
      <c r="G478" s="29">
        <f t="shared" si="22"/>
        <v>1.3224387057102225</v>
      </c>
      <c r="H478" s="31">
        <f t="shared" si="23"/>
        <v>5.9170497649567766</v>
      </c>
    </row>
    <row r="479" spans="1:8" x14ac:dyDescent="0.3">
      <c r="A479" s="5">
        <v>0.47669911799999998</v>
      </c>
      <c r="B479" s="11">
        <v>1.1914281179999999</v>
      </c>
      <c r="C479" s="17">
        <v>2.4345714059999999</v>
      </c>
      <c r="D479">
        <v>2.4700000000000002</v>
      </c>
      <c r="F479" s="25">
        <f t="shared" si="21"/>
        <v>0.2272420491019779</v>
      </c>
      <c r="G479" s="29">
        <f t="shared" si="22"/>
        <v>1.4195009603610218</v>
      </c>
      <c r="H479" s="31">
        <f t="shared" si="23"/>
        <v>5.9271379309128163</v>
      </c>
    </row>
    <row r="480" spans="1:8" x14ac:dyDescent="0.3">
      <c r="A480" s="5">
        <v>3.2831812490000001</v>
      </c>
      <c r="B480" s="11">
        <v>2.903299509</v>
      </c>
      <c r="C480" s="17">
        <v>2.5201649750000001</v>
      </c>
      <c r="D480">
        <v>2.4700000000000002</v>
      </c>
      <c r="F480" s="25">
        <f t="shared" si="21"/>
        <v>10.779279113785201</v>
      </c>
      <c r="G480" s="29">
        <f t="shared" si="22"/>
        <v>8.4291480389596405</v>
      </c>
      <c r="H480" s="31">
        <f t="shared" si="23"/>
        <v>6.3512315012167511</v>
      </c>
    </row>
    <row r="481" spans="1:8" x14ac:dyDescent="0.3">
      <c r="A481" s="5">
        <v>2.1306497389999999</v>
      </c>
      <c r="B481" s="11">
        <v>2.3137639069999998</v>
      </c>
      <c r="C481" s="17">
        <v>2.4906881950000002</v>
      </c>
      <c r="D481">
        <v>2.4700000000000002</v>
      </c>
      <c r="F481" s="25">
        <f t="shared" si="21"/>
        <v>4.539668310300768</v>
      </c>
      <c r="G481" s="29">
        <f t="shared" si="22"/>
        <v>5.3535034173359035</v>
      </c>
      <c r="H481" s="31">
        <f t="shared" si="23"/>
        <v>6.203527684712359</v>
      </c>
    </row>
    <row r="482" spans="1:8" x14ac:dyDescent="0.3">
      <c r="A482" s="5">
        <v>3.3062227239999999</v>
      </c>
      <c r="B482" s="11">
        <v>2.9158619049999999</v>
      </c>
      <c r="C482" s="17">
        <v>2.5207930950000002</v>
      </c>
      <c r="D482">
        <v>2.4700000000000002</v>
      </c>
      <c r="F482" s="25">
        <f t="shared" si="21"/>
        <v>10.931108700693979</v>
      </c>
      <c r="G482" s="29">
        <f t="shared" si="22"/>
        <v>8.5022506490302288</v>
      </c>
      <c r="H482" s="31">
        <f t="shared" si="23"/>
        <v>6.35439782779968</v>
      </c>
    </row>
    <row r="483" spans="1:8" x14ac:dyDescent="0.3">
      <c r="A483" s="5">
        <v>0.56871242399999999</v>
      </c>
      <c r="B483" s="11">
        <v>1.2931369109999999</v>
      </c>
      <c r="C483" s="17">
        <v>2.4396568460000001</v>
      </c>
      <c r="D483">
        <v>2.4700000000000002</v>
      </c>
      <c r="F483" s="25">
        <f t="shared" si="21"/>
        <v>0.3234338212119558</v>
      </c>
      <c r="G483" s="29">
        <f t="shared" si="22"/>
        <v>1.6722030705906217</v>
      </c>
      <c r="H483" s="31">
        <f t="shared" si="23"/>
        <v>5.9519255262346684</v>
      </c>
    </row>
    <row r="484" spans="1:8" x14ac:dyDescent="0.3">
      <c r="A484" s="5">
        <v>2.085482345</v>
      </c>
      <c r="B484" s="11">
        <v>2.2906729729999999</v>
      </c>
      <c r="C484" s="17">
        <v>2.4895336490000002</v>
      </c>
      <c r="D484">
        <v>2.4700000000000002</v>
      </c>
      <c r="F484" s="25">
        <f t="shared" si="21"/>
        <v>4.3492366113066989</v>
      </c>
      <c r="G484" s="29">
        <f t="shared" si="22"/>
        <v>5.2471826692326582</v>
      </c>
      <c r="H484" s="31">
        <f t="shared" si="23"/>
        <v>6.197777789503256</v>
      </c>
    </row>
    <row r="485" spans="1:8" x14ac:dyDescent="0.3">
      <c r="A485" s="5">
        <v>3.1076998200000001</v>
      </c>
      <c r="B485" s="11">
        <v>2.8095283320000002</v>
      </c>
      <c r="C485" s="17">
        <v>2.5154764169999999</v>
      </c>
      <c r="D485">
        <v>2.4700000000000002</v>
      </c>
      <c r="F485" s="25">
        <f t="shared" si="21"/>
        <v>9.6577981712280323</v>
      </c>
      <c r="G485" s="29">
        <f t="shared" si="22"/>
        <v>7.8934494483107036</v>
      </c>
      <c r="H485" s="31">
        <f t="shared" si="23"/>
        <v>6.3276216044831575</v>
      </c>
    </row>
    <row r="486" spans="1:8" x14ac:dyDescent="0.3">
      <c r="A486" s="5">
        <v>4.3664357430000003</v>
      </c>
      <c r="B486" s="11">
        <v>3.6420684130000001</v>
      </c>
      <c r="C486" s="17">
        <v>2.5571034209999999</v>
      </c>
      <c r="D486">
        <v>2.4700000000000002</v>
      </c>
      <c r="F486" s="25">
        <f t="shared" si="21"/>
        <v>19.065761097747963</v>
      </c>
      <c r="G486" s="29">
        <f t="shared" si="22"/>
        <v>13.264662324972338</v>
      </c>
      <c r="H486" s="31">
        <f t="shared" si="23"/>
        <v>6.5387779056899022</v>
      </c>
    </row>
    <row r="487" spans="1:8" x14ac:dyDescent="0.3">
      <c r="A487" s="5">
        <v>1.986754967</v>
      </c>
      <c r="B487" s="11">
        <v>2.2397901550000001</v>
      </c>
      <c r="C487" s="17">
        <v>2.4869895080000002</v>
      </c>
      <c r="D487">
        <v>2.4700000000000002</v>
      </c>
      <c r="F487" s="25">
        <f t="shared" si="21"/>
        <v>3.947195298899171</v>
      </c>
      <c r="G487" s="29">
        <f t="shared" si="22"/>
        <v>5.0166599384349242</v>
      </c>
      <c r="H487" s="31">
        <f t="shared" si="23"/>
        <v>6.1851168129020833</v>
      </c>
    </row>
    <row r="488" spans="1:8" x14ac:dyDescent="0.3">
      <c r="A488" s="5">
        <v>4.3192846459999998</v>
      </c>
      <c r="B488" s="11">
        <v>3.5978124010000001</v>
      </c>
      <c r="C488" s="17">
        <v>2.5548906200000001</v>
      </c>
      <c r="D488">
        <v>2.4700000000000002</v>
      </c>
      <c r="F488" s="25">
        <f t="shared" si="21"/>
        <v>18.656219853171343</v>
      </c>
      <c r="G488" s="29">
        <f t="shared" si="22"/>
        <v>12.944254072789386</v>
      </c>
      <c r="H488" s="31">
        <f t="shared" si="23"/>
        <v>6.5274660801639852</v>
      </c>
    </row>
    <row r="489" spans="1:8" x14ac:dyDescent="0.3">
      <c r="A489" s="5">
        <v>1.0939359719999999</v>
      </c>
      <c r="B489" s="11">
        <v>1.7237053449999999</v>
      </c>
      <c r="C489" s="17">
        <v>2.4611852669999998</v>
      </c>
      <c r="D489">
        <v>2.4700000000000002</v>
      </c>
      <c r="F489" s="25">
        <f t="shared" si="21"/>
        <v>1.1966959108355846</v>
      </c>
      <c r="G489" s="29">
        <f t="shared" si="22"/>
        <v>2.9711601163815686</v>
      </c>
      <c r="H489" s="31">
        <f t="shared" si="23"/>
        <v>6.0574329184978604</v>
      </c>
    </row>
    <row r="490" spans="1:8" x14ac:dyDescent="0.3">
      <c r="A490" s="5">
        <v>3.894314402</v>
      </c>
      <c r="B490" s="11">
        <v>3.2683581770000001</v>
      </c>
      <c r="C490" s="17">
        <v>2.5384179090000001</v>
      </c>
      <c r="D490">
        <v>2.4700000000000002</v>
      </c>
      <c r="F490" s="25">
        <f t="shared" si="21"/>
        <v>15.165684661624617</v>
      </c>
      <c r="G490" s="29">
        <f t="shared" si="22"/>
        <v>10.682165173162764</v>
      </c>
      <c r="H490" s="31">
        <f t="shared" si="23"/>
        <v>6.4435654807319329</v>
      </c>
    </row>
    <row r="491" spans="1:8" x14ac:dyDescent="0.3">
      <c r="A491" s="5">
        <v>0.29679250499999998</v>
      </c>
      <c r="B491" s="11">
        <v>0.93981640899999996</v>
      </c>
      <c r="C491" s="17">
        <v>2.42199082</v>
      </c>
      <c r="D491">
        <v>2.4700000000000002</v>
      </c>
      <c r="F491" s="25">
        <f t="shared" si="21"/>
        <v>8.808579102417502E-2</v>
      </c>
      <c r="G491" s="29">
        <f t="shared" si="22"/>
        <v>0.88325488262565521</v>
      </c>
      <c r="H491" s="31">
        <f t="shared" si="23"/>
        <v>5.8660395321642724</v>
      </c>
    </row>
    <row r="492" spans="1:8" x14ac:dyDescent="0.3">
      <c r="A492" s="5">
        <v>1.647694327</v>
      </c>
      <c r="B492" s="11">
        <v>2.0588132149999998</v>
      </c>
      <c r="C492" s="17">
        <v>2.4779406609999999</v>
      </c>
      <c r="D492">
        <v>2.4700000000000002</v>
      </c>
      <c r="F492" s="25">
        <f t="shared" si="21"/>
        <v>2.7148965952279829</v>
      </c>
      <c r="G492" s="29">
        <f t="shared" si="22"/>
        <v>4.2387118542586357</v>
      </c>
      <c r="H492" s="31">
        <f t="shared" si="23"/>
        <v>6.1401899194371161</v>
      </c>
    </row>
    <row r="493" spans="1:8" x14ac:dyDescent="0.3">
      <c r="A493" s="5">
        <v>3.513901181</v>
      </c>
      <c r="B493" s="11">
        <v>3.0324136510000002</v>
      </c>
      <c r="C493" s="17">
        <v>2.526620683</v>
      </c>
      <c r="D493">
        <v>2.4700000000000002</v>
      </c>
      <c r="F493" s="25">
        <f t="shared" si="21"/>
        <v>12.347501509833195</v>
      </c>
      <c r="G493" s="29">
        <f t="shared" si="22"/>
        <v>9.1955325507711514</v>
      </c>
      <c r="H493" s="31">
        <f t="shared" si="23"/>
        <v>6.3838120757633865</v>
      </c>
    </row>
    <row r="494" spans="1:8" x14ac:dyDescent="0.3">
      <c r="A494" s="5">
        <v>4.8730430010000001</v>
      </c>
      <c r="B494" s="11">
        <v>4.4533126760000004</v>
      </c>
      <c r="C494" s="17">
        <v>2.5976656340000002</v>
      </c>
      <c r="D494">
        <v>2.4700000000000002</v>
      </c>
      <c r="F494" s="25">
        <f t="shared" si="21"/>
        <v>23.746548089595088</v>
      </c>
      <c r="G494" s="29">
        <f t="shared" si="22"/>
        <v>19.831993790222285</v>
      </c>
      <c r="H494" s="31">
        <f t="shared" si="23"/>
        <v>6.7478667460646227</v>
      </c>
    </row>
    <row r="495" spans="1:8" x14ac:dyDescent="0.3">
      <c r="A495" s="5">
        <v>3.2802819909999998</v>
      </c>
      <c r="B495" s="11">
        <v>2.90172381</v>
      </c>
      <c r="C495" s="17">
        <v>2.5200861899999998</v>
      </c>
      <c r="D495">
        <v>2.4700000000000002</v>
      </c>
      <c r="F495" s="25">
        <f t="shared" si="21"/>
        <v>10.760249940478923</v>
      </c>
      <c r="G495" s="29">
        <f t="shared" si="22"/>
        <v>8.4200010695209162</v>
      </c>
      <c r="H495" s="31">
        <f t="shared" si="23"/>
        <v>6.3508344050287153</v>
      </c>
    </row>
    <row r="496" spans="1:8" x14ac:dyDescent="0.3">
      <c r="A496" s="5">
        <v>3.0344553969999999</v>
      </c>
      <c r="B496" s="11">
        <v>2.7712249619999998</v>
      </c>
      <c r="C496" s="17">
        <v>2.5135612479999998</v>
      </c>
      <c r="D496">
        <v>2.4700000000000002</v>
      </c>
      <c r="F496" s="25">
        <f t="shared" si="21"/>
        <v>9.2079195563824268</v>
      </c>
      <c r="G496" s="29">
        <f t="shared" si="22"/>
        <v>7.6796877900119007</v>
      </c>
      <c r="H496" s="31">
        <f t="shared" si="23"/>
        <v>6.3179901474473166</v>
      </c>
    </row>
    <row r="497" spans="1:8" x14ac:dyDescent="0.3">
      <c r="A497" s="5">
        <v>4.0563676869999998</v>
      </c>
      <c r="B497" s="11">
        <v>3.3825986700000001</v>
      </c>
      <c r="C497" s="17">
        <v>2.5441299329999998</v>
      </c>
      <c r="D497">
        <v>2.4700000000000002</v>
      </c>
      <c r="F497" s="25">
        <f t="shared" si="21"/>
        <v>16.454118812137729</v>
      </c>
      <c r="G497" s="29">
        <f t="shared" si="22"/>
        <v>11.44197376228577</v>
      </c>
      <c r="H497" s="31">
        <f t="shared" si="23"/>
        <v>6.4725971159865834</v>
      </c>
    </row>
    <row r="498" spans="1:8" x14ac:dyDescent="0.3">
      <c r="A498" s="5">
        <v>2.0000305190000001</v>
      </c>
      <c r="B498" s="11">
        <v>2.2466682090000001</v>
      </c>
      <c r="C498" s="17">
        <v>2.4873334100000002</v>
      </c>
      <c r="D498">
        <v>2.4700000000000002</v>
      </c>
      <c r="F498" s="25">
        <f t="shared" si="21"/>
        <v>4.0001220769314099</v>
      </c>
      <c r="G498" s="29">
        <f t="shared" si="22"/>
        <v>5.0475180413312684</v>
      </c>
      <c r="H498" s="31">
        <f t="shared" si="23"/>
        <v>6.1868274925022293</v>
      </c>
    </row>
    <row r="499" spans="1:8" x14ac:dyDescent="0.3">
      <c r="A499" s="5">
        <v>2.05221717</v>
      </c>
      <c r="B499" s="11">
        <v>2.2735949359999998</v>
      </c>
      <c r="C499" s="17">
        <v>2.4886797469999999</v>
      </c>
      <c r="D499">
        <v>2.4700000000000002</v>
      </c>
      <c r="F499" s="25">
        <f t="shared" si="21"/>
        <v>4.2115953128428094</v>
      </c>
      <c r="G499" s="29">
        <f t="shared" si="22"/>
        <v>5.1692339330048434</v>
      </c>
      <c r="H499" s="31">
        <f t="shared" si="23"/>
        <v>6.1935268831279835</v>
      </c>
    </row>
    <row r="500" spans="1:8" x14ac:dyDescent="0.3">
      <c r="A500" s="5">
        <v>2.0108645890000001</v>
      </c>
      <c r="B500" s="11">
        <v>2.2522729699999999</v>
      </c>
      <c r="C500" s="17">
        <v>2.487613648</v>
      </c>
      <c r="D500">
        <v>2.4700000000000002</v>
      </c>
      <c r="F500" s="25">
        <f t="shared" si="21"/>
        <v>4.0435763952941395</v>
      </c>
      <c r="G500" s="29">
        <f t="shared" si="22"/>
        <v>5.072733531392621</v>
      </c>
      <c r="H500" s="31">
        <f t="shared" si="23"/>
        <v>6.1882216617158674</v>
      </c>
    </row>
    <row r="501" spans="1:8" x14ac:dyDescent="0.3">
      <c r="A501" s="5">
        <v>3.99365215</v>
      </c>
      <c r="B501" s="11">
        <v>3.337094376</v>
      </c>
      <c r="C501" s="17">
        <v>2.5418547189999998</v>
      </c>
      <c r="D501">
        <v>2.4700000000000002</v>
      </c>
      <c r="F501" s="25">
        <f t="shared" si="21"/>
        <v>15.949257495199623</v>
      </c>
      <c r="G501" s="29">
        <f t="shared" si="22"/>
        <v>11.13619887433083</v>
      </c>
      <c r="H501" s="31">
        <f t="shared" si="23"/>
        <v>6.4610254125025683</v>
      </c>
    </row>
    <row r="502" spans="1:8" x14ac:dyDescent="0.3">
      <c r="A502" s="5">
        <v>3.3552049319999999</v>
      </c>
      <c r="B502" s="11">
        <v>2.942789769</v>
      </c>
      <c r="C502" s="17">
        <v>2.5221394880000001</v>
      </c>
      <c r="D502">
        <v>2.4700000000000002</v>
      </c>
      <c r="F502" s="25">
        <f t="shared" si="21"/>
        <v>11.257400135717123</v>
      </c>
      <c r="G502" s="29">
        <f t="shared" si="22"/>
        <v>8.660011624531073</v>
      </c>
      <c r="H502" s="31">
        <f t="shared" si="23"/>
        <v>6.3611875969289029</v>
      </c>
    </row>
    <row r="503" spans="1:8" x14ac:dyDescent="0.3">
      <c r="A503" s="5">
        <v>4.1827143160000002</v>
      </c>
      <c r="B503" s="11">
        <v>3.4803488869999999</v>
      </c>
      <c r="C503" s="17">
        <v>2.549017444</v>
      </c>
      <c r="D503">
        <v>2.4700000000000002</v>
      </c>
      <c r="F503" s="25">
        <f t="shared" si="21"/>
        <v>17.495099049271349</v>
      </c>
      <c r="G503" s="29">
        <f t="shared" si="22"/>
        <v>12.112828375242138</v>
      </c>
      <c r="H503" s="31">
        <f t="shared" si="23"/>
        <v>6.4974899298162931</v>
      </c>
    </row>
    <row r="504" spans="1:8" x14ac:dyDescent="0.3">
      <c r="A504" s="5">
        <v>2.940305795</v>
      </c>
      <c r="B504" s="11">
        <v>2.7225601749999999</v>
      </c>
      <c r="C504" s="17">
        <v>2.5111280090000001</v>
      </c>
      <c r="D504">
        <v>2.4700000000000002</v>
      </c>
      <c r="F504" s="25">
        <f t="shared" si="21"/>
        <v>8.6453981681105816</v>
      </c>
      <c r="G504" s="29">
        <f t="shared" si="22"/>
        <v>7.4123339064960305</v>
      </c>
      <c r="H504" s="31">
        <f t="shared" si="23"/>
        <v>6.3057638775843046</v>
      </c>
    </row>
    <row r="505" spans="1:8" x14ac:dyDescent="0.3">
      <c r="A505" s="5">
        <v>1.5184484389999999</v>
      </c>
      <c r="B505" s="11">
        <v>1.9861821049999999</v>
      </c>
      <c r="C505" s="17">
        <v>2.4743091050000001</v>
      </c>
      <c r="D505">
        <v>2.4700000000000002</v>
      </c>
      <c r="F505" s="25">
        <f t="shared" si="21"/>
        <v>2.3056856619015367</v>
      </c>
      <c r="G505" s="29">
        <f t="shared" si="22"/>
        <v>3.9449193542222307</v>
      </c>
      <c r="H505" s="31">
        <f t="shared" si="23"/>
        <v>6.122205547085902</v>
      </c>
    </row>
    <row r="506" spans="1:8" x14ac:dyDescent="0.3">
      <c r="A506" s="5">
        <v>3.015686514</v>
      </c>
      <c r="B506" s="11">
        <v>2.761476316</v>
      </c>
      <c r="C506" s="17">
        <v>2.5130738159999999</v>
      </c>
      <c r="D506">
        <v>2.4700000000000002</v>
      </c>
      <c r="F506" s="25">
        <f t="shared" si="21"/>
        <v>9.0943651507214724</v>
      </c>
      <c r="G506" s="29">
        <f t="shared" si="22"/>
        <v>7.625751443828932</v>
      </c>
      <c r="H506" s="31">
        <f t="shared" si="23"/>
        <v>6.3155400046648014</v>
      </c>
    </row>
    <row r="507" spans="1:8" x14ac:dyDescent="0.3">
      <c r="A507" s="5">
        <v>3.9750358590000001</v>
      </c>
      <c r="B507" s="11">
        <v>3.3239180720000001</v>
      </c>
      <c r="C507" s="17">
        <v>2.5411959039999998</v>
      </c>
      <c r="D507">
        <v>2.4700000000000002</v>
      </c>
      <c r="F507" s="25">
        <f t="shared" si="21"/>
        <v>15.80091008033587</v>
      </c>
      <c r="G507" s="29">
        <f t="shared" si="22"/>
        <v>11.048431349368197</v>
      </c>
      <c r="H507" s="31">
        <f t="shared" si="23"/>
        <v>6.4576766225063764</v>
      </c>
    </row>
    <row r="508" spans="1:8" x14ac:dyDescent="0.3">
      <c r="A508" s="5">
        <v>0.80523087299999996</v>
      </c>
      <c r="B508" s="11">
        <v>1.509833118</v>
      </c>
      <c r="C508" s="17">
        <v>2.4504916560000001</v>
      </c>
      <c r="D508">
        <v>2.4700000000000002</v>
      </c>
      <c r="F508" s="25">
        <f t="shared" si="21"/>
        <v>0.64839675883234205</v>
      </c>
      <c r="G508" s="29">
        <f t="shared" si="22"/>
        <v>2.2795960442096019</v>
      </c>
      <c r="H508" s="31">
        <f t="shared" si="23"/>
        <v>6.0049093561256228</v>
      </c>
    </row>
    <row r="509" spans="1:8" x14ac:dyDescent="0.3">
      <c r="A509" s="5">
        <v>0.50340281399999998</v>
      </c>
      <c r="B509" s="11">
        <v>1.222316832</v>
      </c>
      <c r="C509" s="17">
        <v>2.436115842</v>
      </c>
      <c r="D509">
        <v>2.4700000000000002</v>
      </c>
      <c r="F509" s="25">
        <f t="shared" si="21"/>
        <v>0.25341439314311859</v>
      </c>
      <c r="G509" s="29">
        <f t="shared" si="22"/>
        <v>1.4940584377905162</v>
      </c>
      <c r="H509" s="31">
        <f t="shared" si="23"/>
        <v>5.9346603956433688</v>
      </c>
    </row>
    <row r="510" spans="1:8" x14ac:dyDescent="0.3">
      <c r="A510" s="5">
        <v>0.40055543700000001</v>
      </c>
      <c r="B510" s="11">
        <v>1.0956765159999999</v>
      </c>
      <c r="C510" s="17">
        <v>2.429783826</v>
      </c>
      <c r="D510">
        <v>2.4700000000000002</v>
      </c>
      <c r="F510" s="25">
        <f t="shared" si="21"/>
        <v>0.16044465811026098</v>
      </c>
      <c r="G510" s="29">
        <f t="shared" si="22"/>
        <v>1.2005070277138981</v>
      </c>
      <c r="H510" s="31">
        <f t="shared" si="23"/>
        <v>5.9038494410911984</v>
      </c>
    </row>
    <row r="511" spans="1:8" x14ac:dyDescent="0.3">
      <c r="A511" s="5">
        <v>2.5598925750000001</v>
      </c>
      <c r="B511" s="11">
        <v>2.5300303780000002</v>
      </c>
      <c r="C511" s="17">
        <v>2.5015015190000001</v>
      </c>
      <c r="D511">
        <v>2.4700000000000002</v>
      </c>
      <c r="F511" s="25">
        <f t="shared" si="21"/>
        <v>6.5530499955401309</v>
      </c>
      <c r="G511" s="29">
        <f t="shared" si="22"/>
        <v>6.401053713602824</v>
      </c>
      <c r="H511" s="31">
        <f t="shared" si="23"/>
        <v>6.257509849559308</v>
      </c>
    </row>
    <row r="512" spans="1:8" x14ac:dyDescent="0.3">
      <c r="A512" s="5">
        <v>1.552781762</v>
      </c>
      <c r="B512" s="11">
        <v>2.005726009</v>
      </c>
      <c r="C512" s="17">
        <v>2.4752863000000001</v>
      </c>
      <c r="D512">
        <v>2.4700000000000002</v>
      </c>
      <c r="F512" s="25">
        <f t="shared" si="21"/>
        <v>2.4111312003998244</v>
      </c>
      <c r="G512" s="29">
        <f t="shared" si="22"/>
        <v>4.0229368231790676</v>
      </c>
      <c r="H512" s="31">
        <f t="shared" si="23"/>
        <v>6.1270422669676901</v>
      </c>
    </row>
    <row r="513" spans="1:8" x14ac:dyDescent="0.3">
      <c r="A513" s="5">
        <v>2.5925473800000001</v>
      </c>
      <c r="B513" s="11">
        <v>2.5464126509999998</v>
      </c>
      <c r="C513" s="17">
        <v>2.5023206330000001</v>
      </c>
      <c r="D513">
        <v>2.4700000000000002</v>
      </c>
      <c r="F513" s="25">
        <f t="shared" si="21"/>
        <v>6.7213019175448645</v>
      </c>
      <c r="G513" s="29">
        <f t="shared" si="22"/>
        <v>6.484217389172847</v>
      </c>
      <c r="H513" s="31">
        <f t="shared" si="23"/>
        <v>6.2616085503375212</v>
      </c>
    </row>
    <row r="514" spans="1:8" x14ac:dyDescent="0.3">
      <c r="A514" s="5">
        <v>4.6240119630000001</v>
      </c>
      <c r="B514" s="11">
        <v>3.9381384970000002</v>
      </c>
      <c r="C514" s="17">
        <v>2.571906925</v>
      </c>
      <c r="D514">
        <v>2.4700000000000002</v>
      </c>
      <c r="F514" s="25">
        <f t="shared" si="21"/>
        <v>21.381486633967114</v>
      </c>
      <c r="G514" s="29">
        <f t="shared" si="22"/>
        <v>15.508934821553421</v>
      </c>
      <c r="H514" s="31">
        <f t="shared" si="23"/>
        <v>6.6147052308629553</v>
      </c>
    </row>
    <row r="515" spans="1:8" x14ac:dyDescent="0.3">
      <c r="A515" s="5">
        <v>2.9586169010000001</v>
      </c>
      <c r="B515" s="11">
        <v>2.7319802659999999</v>
      </c>
      <c r="C515" s="17">
        <v>2.5115990130000001</v>
      </c>
      <c r="D515">
        <v>2.4700000000000002</v>
      </c>
      <c r="F515" s="25">
        <f t="shared" ref="F515:F578" si="24">POWER(A515,2)</f>
        <v>8.7534139668828441</v>
      </c>
      <c r="G515" s="29">
        <f t="shared" ref="G515:G578" si="25">POWER(B515,2)</f>
        <v>7.4637161738134301</v>
      </c>
      <c r="H515" s="31">
        <f t="shared" ref="H515:H578" si="26">POWER(C515,2)</f>
        <v>6.308129602102575</v>
      </c>
    </row>
    <row r="516" spans="1:8" x14ac:dyDescent="0.3">
      <c r="A516" s="5">
        <v>2.5272377700000002</v>
      </c>
      <c r="B516" s="11">
        <v>2.513656063</v>
      </c>
      <c r="C516" s="17">
        <v>2.5006828030000001</v>
      </c>
      <c r="D516">
        <v>2.4700000000000002</v>
      </c>
      <c r="F516" s="25">
        <f t="shared" si="24"/>
        <v>6.3869307461145741</v>
      </c>
      <c r="G516" s="29">
        <f t="shared" si="25"/>
        <v>6.3184668030566602</v>
      </c>
      <c r="H516" s="31">
        <f t="shared" si="26"/>
        <v>6.253414481219937</v>
      </c>
    </row>
    <row r="517" spans="1:8" x14ac:dyDescent="0.3">
      <c r="A517" s="5">
        <v>4.0272225099999996</v>
      </c>
      <c r="B517" s="11">
        <v>3.361230092</v>
      </c>
      <c r="C517" s="17">
        <v>2.5430615049999998</v>
      </c>
      <c r="D517">
        <v>2.4700000000000002</v>
      </c>
      <c r="F517" s="25">
        <f t="shared" si="24"/>
        <v>16.218521145050698</v>
      </c>
      <c r="G517" s="29">
        <f t="shared" si="25"/>
        <v>11.297867731366328</v>
      </c>
      <c r="H517" s="31">
        <f t="shared" si="26"/>
        <v>6.4671618182128645</v>
      </c>
    </row>
    <row r="518" spans="1:8" x14ac:dyDescent="0.3">
      <c r="A518" s="5">
        <v>4.6397289959999997</v>
      </c>
      <c r="B518" s="11">
        <v>3.960662133</v>
      </c>
      <c r="C518" s="17">
        <v>2.5730331070000001</v>
      </c>
      <c r="D518">
        <v>2.4700000000000002</v>
      </c>
      <c r="F518" s="25">
        <f t="shared" si="24"/>
        <v>21.527085156323164</v>
      </c>
      <c r="G518" s="29">
        <f t="shared" si="25"/>
        <v>15.68684453178011</v>
      </c>
      <c r="H518" s="31">
        <f t="shared" si="26"/>
        <v>6.6204993697180736</v>
      </c>
    </row>
    <row r="519" spans="1:8" x14ac:dyDescent="0.3">
      <c r="A519" s="5">
        <v>2.774895474</v>
      </c>
      <c r="B519" s="11">
        <v>2.6382511530000001</v>
      </c>
      <c r="C519" s="17">
        <v>2.5069125579999998</v>
      </c>
      <c r="D519">
        <v>2.4700000000000002</v>
      </c>
      <c r="F519" s="25">
        <f t="shared" si="24"/>
        <v>7.7000448916256845</v>
      </c>
      <c r="G519" s="29">
        <f t="shared" si="25"/>
        <v>6.9603691463058297</v>
      </c>
      <c r="H519" s="31">
        <f t="shared" si="26"/>
        <v>6.2846105734581021</v>
      </c>
    </row>
    <row r="520" spans="1:8" x14ac:dyDescent="0.3">
      <c r="A520" s="5">
        <v>2.1362956999999998E-2</v>
      </c>
      <c r="B520" s="11">
        <v>-0.12974936000000001</v>
      </c>
      <c r="C520" s="17">
        <v>2.368512532</v>
      </c>
      <c r="D520">
        <v>2.4700000000000002</v>
      </c>
      <c r="F520" s="25">
        <f t="shared" si="24"/>
        <v>4.5637593178384894E-4</v>
      </c>
      <c r="G520" s="29">
        <f t="shared" si="25"/>
        <v>1.6834896420409601E-2</v>
      </c>
      <c r="H520" s="31">
        <f t="shared" si="26"/>
        <v>5.6098516142410508</v>
      </c>
    </row>
    <row r="521" spans="1:8" x14ac:dyDescent="0.3">
      <c r="A521" s="5">
        <v>1.115756706</v>
      </c>
      <c r="B521" s="11">
        <v>1.738407327</v>
      </c>
      <c r="C521" s="17">
        <v>2.4619203660000002</v>
      </c>
      <c r="D521">
        <v>2.4700000000000002</v>
      </c>
      <c r="F521" s="25">
        <f t="shared" si="24"/>
        <v>1.2449130269839703</v>
      </c>
      <c r="G521" s="29">
        <f t="shared" si="25"/>
        <v>3.0220600345672848</v>
      </c>
      <c r="H521" s="31">
        <f t="shared" si="26"/>
        <v>6.0610518885255749</v>
      </c>
    </row>
    <row r="522" spans="1:8" x14ac:dyDescent="0.3">
      <c r="A522" s="5">
        <v>3.458510086</v>
      </c>
      <c r="B522" s="11">
        <v>3.0006802440000002</v>
      </c>
      <c r="C522" s="17">
        <v>2.5250340119999999</v>
      </c>
      <c r="D522">
        <v>2.4700000000000002</v>
      </c>
      <c r="F522" s="25">
        <f t="shared" si="24"/>
        <v>11.961292014963727</v>
      </c>
      <c r="G522" s="29">
        <f t="shared" si="25"/>
        <v>9.0040819267319012</v>
      </c>
      <c r="H522" s="31">
        <f t="shared" si="26"/>
        <v>6.3757967617568152</v>
      </c>
    </row>
    <row r="523" spans="1:8" x14ac:dyDescent="0.3">
      <c r="A523" s="5">
        <v>4.6685689869999996</v>
      </c>
      <c r="B523" s="11">
        <v>4.0040359360000002</v>
      </c>
      <c r="C523" s="17">
        <v>2.5752017970000001</v>
      </c>
      <c r="D523">
        <v>2.4700000000000002</v>
      </c>
      <c r="F523" s="25">
        <f t="shared" si="24"/>
        <v>21.795536386378203</v>
      </c>
      <c r="G523" s="29">
        <f t="shared" si="25"/>
        <v>16.032303776779397</v>
      </c>
      <c r="H523" s="31">
        <f t="shared" si="26"/>
        <v>6.6316642952720297</v>
      </c>
    </row>
    <row r="524" spans="1:8" x14ac:dyDescent="0.3">
      <c r="A524" s="5">
        <v>3.4801782280000002</v>
      </c>
      <c r="B524" s="11">
        <v>3.0130323190000001</v>
      </c>
      <c r="C524" s="17">
        <v>2.5256516160000002</v>
      </c>
      <c r="D524">
        <v>2.4700000000000002</v>
      </c>
      <c r="F524" s="25">
        <f t="shared" si="24"/>
        <v>12.111640498645221</v>
      </c>
      <c r="G524" s="29">
        <f t="shared" si="25"/>
        <v>9.0783637553385184</v>
      </c>
      <c r="H524" s="31">
        <f t="shared" si="26"/>
        <v>6.3789160854034126</v>
      </c>
    </row>
    <row r="525" spans="1:8" x14ac:dyDescent="0.3">
      <c r="A525" s="5">
        <v>0.75197607300000002</v>
      </c>
      <c r="B525" s="11">
        <v>1.465261057</v>
      </c>
      <c r="C525" s="17">
        <v>2.4482630529999998</v>
      </c>
      <c r="D525">
        <v>2.4700000000000002</v>
      </c>
      <c r="F525" s="25">
        <f t="shared" si="24"/>
        <v>0.56546801436450134</v>
      </c>
      <c r="G525" s="29">
        <f t="shared" si="25"/>
        <v>2.1469899651607571</v>
      </c>
      <c r="H525" s="31">
        <f t="shared" si="26"/>
        <v>5.9939919766848799</v>
      </c>
    </row>
    <row r="526" spans="1:8" x14ac:dyDescent="0.3">
      <c r="A526" s="5">
        <v>2.2179326760000002</v>
      </c>
      <c r="B526" s="11">
        <v>2.3581176899999998</v>
      </c>
      <c r="C526" s="17">
        <v>2.4929058839999998</v>
      </c>
      <c r="D526">
        <v>2.4700000000000002</v>
      </c>
      <c r="F526" s="25">
        <f t="shared" si="24"/>
        <v>4.9192253552685221</v>
      </c>
      <c r="G526" s="29">
        <f t="shared" si="25"/>
        <v>5.5607190398909356</v>
      </c>
      <c r="H526" s="31">
        <f t="shared" si="26"/>
        <v>6.21457974648182</v>
      </c>
    </row>
    <row r="527" spans="1:8" x14ac:dyDescent="0.3">
      <c r="A527" s="5">
        <v>2.2696615499999999</v>
      </c>
      <c r="B527" s="11">
        <v>2.3842679360000001</v>
      </c>
      <c r="C527" s="17">
        <v>2.4942133970000002</v>
      </c>
      <c r="D527">
        <v>2.4700000000000002</v>
      </c>
      <c r="F527" s="25">
        <f t="shared" si="24"/>
        <v>5.1513635515484024</v>
      </c>
      <c r="G527" s="29">
        <f t="shared" si="25"/>
        <v>5.6847335906377001</v>
      </c>
      <c r="H527" s="31">
        <f t="shared" si="26"/>
        <v>6.2211004697742807</v>
      </c>
    </row>
    <row r="528" spans="1:8" x14ac:dyDescent="0.3">
      <c r="A528" s="5">
        <v>3.3828241829999999</v>
      </c>
      <c r="B528" s="11">
        <v>2.958114755</v>
      </c>
      <c r="C528" s="17">
        <v>2.522905738</v>
      </c>
      <c r="D528">
        <v>2.4700000000000002</v>
      </c>
      <c r="F528" s="25">
        <f t="shared" si="24"/>
        <v>11.443499453089617</v>
      </c>
      <c r="G528" s="29">
        <f t="shared" si="25"/>
        <v>8.7504429037487093</v>
      </c>
      <c r="H528" s="31">
        <f t="shared" si="26"/>
        <v>6.3650533628333248</v>
      </c>
    </row>
    <row r="529" spans="1:8" x14ac:dyDescent="0.3">
      <c r="A529" s="5">
        <v>4.8881496630000001</v>
      </c>
      <c r="B529" s="11">
        <v>4.5070910980000001</v>
      </c>
      <c r="C529" s="17">
        <v>2.600354555</v>
      </c>
      <c r="D529">
        <v>2.4700000000000002</v>
      </c>
      <c r="F529" s="25">
        <f t="shared" si="24"/>
        <v>23.894007127887015</v>
      </c>
      <c r="G529" s="29">
        <f t="shared" si="25"/>
        <v>20.313870165670846</v>
      </c>
      <c r="H529" s="31">
        <f t="shared" si="26"/>
        <v>6.7618438117092481</v>
      </c>
    </row>
    <row r="530" spans="1:8" x14ac:dyDescent="0.3">
      <c r="A530" s="5">
        <v>2.3885311439999999</v>
      </c>
      <c r="B530" s="11">
        <v>2.444088813</v>
      </c>
      <c r="C530" s="17">
        <v>2.4972044410000001</v>
      </c>
      <c r="D530">
        <v>2.4700000000000002</v>
      </c>
      <c r="F530" s="25">
        <f t="shared" si="24"/>
        <v>5.7050810258579485</v>
      </c>
      <c r="G530" s="29">
        <f t="shared" si="25"/>
        <v>5.9735701258317491</v>
      </c>
      <c r="H530" s="31">
        <f t="shared" si="26"/>
        <v>6.2360300201501229</v>
      </c>
    </row>
    <row r="531" spans="1:8" x14ac:dyDescent="0.3">
      <c r="A531" s="5">
        <v>1.6878261670000001</v>
      </c>
      <c r="B531" s="11">
        <v>2.0808821040000001</v>
      </c>
      <c r="C531" s="17">
        <v>2.4790441049999998</v>
      </c>
      <c r="D531">
        <v>2.4700000000000002</v>
      </c>
      <c r="F531" s="25">
        <f t="shared" si="24"/>
        <v>2.8487571700099124</v>
      </c>
      <c r="G531" s="29">
        <f t="shared" si="25"/>
        <v>4.3300703307474668</v>
      </c>
      <c r="H531" s="31">
        <f t="shared" si="26"/>
        <v>6.1456596745352501</v>
      </c>
    </row>
    <row r="532" spans="1:8" x14ac:dyDescent="0.3">
      <c r="A532" s="5">
        <v>2.3412274540000002</v>
      </c>
      <c r="B532" s="11">
        <v>2.4203191689999999</v>
      </c>
      <c r="C532" s="17">
        <v>2.4960159580000001</v>
      </c>
      <c r="D532">
        <v>2.4700000000000002</v>
      </c>
      <c r="F532" s="25">
        <f t="shared" si="24"/>
        <v>5.4813459913633231</v>
      </c>
      <c r="G532" s="29">
        <f t="shared" si="25"/>
        <v>5.8579448798288496</v>
      </c>
      <c r="H532" s="31">
        <f t="shared" si="26"/>
        <v>6.2300956625906583</v>
      </c>
    </row>
    <row r="533" spans="1:8" x14ac:dyDescent="0.3">
      <c r="A533" s="5">
        <v>0.369121372</v>
      </c>
      <c r="B533" s="11">
        <v>1.0521117200000001</v>
      </c>
      <c r="C533" s="17">
        <v>2.4276055859999999</v>
      </c>
      <c r="D533">
        <v>2.4700000000000002</v>
      </c>
      <c r="F533" s="25">
        <f t="shared" si="24"/>
        <v>0.13625058726716238</v>
      </c>
      <c r="G533" s="29">
        <f t="shared" si="25"/>
        <v>1.1069390713613585</v>
      </c>
      <c r="H533" s="31">
        <f t="shared" si="26"/>
        <v>5.8932688811784031</v>
      </c>
    </row>
    <row r="534" spans="1:8" x14ac:dyDescent="0.3">
      <c r="A534" s="5">
        <v>1.8938261059999999</v>
      </c>
      <c r="B534" s="11">
        <v>2.1912742970000001</v>
      </c>
      <c r="C534" s="17">
        <v>2.4845637150000002</v>
      </c>
      <c r="D534">
        <v>2.4700000000000002</v>
      </c>
      <c r="F534" s="25">
        <f t="shared" si="24"/>
        <v>3.5865773197671227</v>
      </c>
      <c r="G534" s="29">
        <f t="shared" si="25"/>
        <v>4.8016830446928447</v>
      </c>
      <c r="H534" s="31">
        <f t="shared" si="26"/>
        <v>6.173056853894602</v>
      </c>
    </row>
    <row r="535" spans="1:8" x14ac:dyDescent="0.3">
      <c r="A535" s="5">
        <v>1.27292703</v>
      </c>
      <c r="B535" s="11">
        <v>1.8398705559999999</v>
      </c>
      <c r="C535" s="17">
        <v>2.4669935280000002</v>
      </c>
      <c r="D535">
        <v>2.4700000000000002</v>
      </c>
      <c r="F535" s="25">
        <f t="shared" si="24"/>
        <v>1.6203432237046207</v>
      </c>
      <c r="G535" s="29">
        <f t="shared" si="25"/>
        <v>3.3851236628357491</v>
      </c>
      <c r="H535" s="31">
        <f t="shared" si="26"/>
        <v>6.0860570671938872</v>
      </c>
    </row>
    <row r="536" spans="1:8" x14ac:dyDescent="0.3">
      <c r="A536" s="5">
        <v>1.4398632769999999</v>
      </c>
      <c r="B536" s="11">
        <v>1.9406834959999999</v>
      </c>
      <c r="C536" s="17">
        <v>2.4720341750000001</v>
      </c>
      <c r="D536">
        <v>2.4700000000000002</v>
      </c>
      <c r="F536" s="25">
        <f t="shared" si="24"/>
        <v>2.0732062564531786</v>
      </c>
      <c r="G536" s="29">
        <f t="shared" si="25"/>
        <v>3.7662524316467816</v>
      </c>
      <c r="H536" s="31">
        <f t="shared" si="26"/>
        <v>6.1109529623679313</v>
      </c>
    </row>
    <row r="537" spans="1:8" x14ac:dyDescent="0.3">
      <c r="A537" s="5">
        <v>3.03582873</v>
      </c>
      <c r="B537" s="11">
        <v>2.7719389159999999</v>
      </c>
      <c r="C537" s="17">
        <v>2.5135969459999998</v>
      </c>
      <c r="D537">
        <v>2.4700000000000002</v>
      </c>
      <c r="F537" s="25">
        <f t="shared" si="24"/>
        <v>9.2162560778934122</v>
      </c>
      <c r="G537" s="29">
        <f t="shared" si="25"/>
        <v>7.6836453540352547</v>
      </c>
      <c r="H537" s="31">
        <f t="shared" si="26"/>
        <v>6.3181696069405264</v>
      </c>
    </row>
    <row r="538" spans="1:8" x14ac:dyDescent="0.3">
      <c r="A538" s="5">
        <v>3.4299752799999998</v>
      </c>
      <c r="B538" s="11">
        <v>2.9845298919999999</v>
      </c>
      <c r="C538" s="17">
        <v>2.5242264950000002</v>
      </c>
      <c r="D538">
        <v>2.4700000000000002</v>
      </c>
      <c r="F538" s="25">
        <f t="shared" si="24"/>
        <v>11.764730421411077</v>
      </c>
      <c r="G538" s="29">
        <f t="shared" si="25"/>
        <v>8.9074186762415302</v>
      </c>
      <c r="H538" s="31">
        <f t="shared" si="26"/>
        <v>6.3717193980599856</v>
      </c>
    </row>
    <row r="539" spans="1:8" x14ac:dyDescent="0.3">
      <c r="A539" s="5">
        <v>4.7859126559999998</v>
      </c>
      <c r="B539" s="11">
        <v>4.2188858690000002</v>
      </c>
      <c r="C539" s="17">
        <v>2.5859442929999998</v>
      </c>
      <c r="D539">
        <v>2.4700000000000002</v>
      </c>
      <c r="F539" s="25">
        <f t="shared" si="24"/>
        <v>22.904959950860974</v>
      </c>
      <c r="G539" s="29">
        <f t="shared" si="25"/>
        <v>17.798997975647886</v>
      </c>
      <c r="H539" s="31">
        <f t="shared" si="26"/>
        <v>6.6871078864992688</v>
      </c>
    </row>
    <row r="540" spans="1:8" x14ac:dyDescent="0.3">
      <c r="A540" s="5">
        <v>1.352732933</v>
      </c>
      <c r="B540" s="11">
        <v>1.8888400240000001</v>
      </c>
      <c r="C540" s="17">
        <v>2.469442001</v>
      </c>
      <c r="D540">
        <v>2.4700000000000002</v>
      </c>
      <c r="F540" s="25">
        <f t="shared" si="24"/>
        <v>1.8298863880227825</v>
      </c>
      <c r="G540" s="29">
        <f t="shared" si="25"/>
        <v>3.5677166362643207</v>
      </c>
      <c r="H540" s="31">
        <f t="shared" si="26"/>
        <v>6.0981437963028844</v>
      </c>
    </row>
    <row r="541" spans="1:8" x14ac:dyDescent="0.3">
      <c r="A541" s="5">
        <v>2.4996185190000002</v>
      </c>
      <c r="B541" s="11">
        <v>2.499809006</v>
      </c>
      <c r="C541" s="17">
        <v>2.4999904499999999</v>
      </c>
      <c r="D541">
        <v>2.4700000000000002</v>
      </c>
      <c r="F541" s="25">
        <f t="shared" si="24"/>
        <v>6.2480927405277544</v>
      </c>
      <c r="G541" s="29">
        <f t="shared" si="25"/>
        <v>6.2490450664787076</v>
      </c>
      <c r="H541" s="31">
        <f t="shared" si="26"/>
        <v>6.2499522500912015</v>
      </c>
    </row>
    <row r="542" spans="1:8" x14ac:dyDescent="0.3">
      <c r="A542" s="5">
        <v>0.76158940399999997</v>
      </c>
      <c r="B542" s="11">
        <v>1.4734578780000001</v>
      </c>
      <c r="C542" s="17">
        <v>2.448672894</v>
      </c>
      <c r="D542">
        <v>2.4700000000000002</v>
      </c>
      <c r="F542" s="25">
        <f t="shared" si="24"/>
        <v>0.58001842028507522</v>
      </c>
      <c r="G542" s="29">
        <f t="shared" si="25"/>
        <v>2.171078118240263</v>
      </c>
      <c r="H542" s="31">
        <f t="shared" si="26"/>
        <v>5.9959989418103348</v>
      </c>
    </row>
    <row r="543" spans="1:8" x14ac:dyDescent="0.3">
      <c r="A543" s="5">
        <v>0.63127536900000003</v>
      </c>
      <c r="B543" s="11">
        <v>1.355726062</v>
      </c>
      <c r="C543" s="17">
        <v>2.4427863030000001</v>
      </c>
      <c r="D543">
        <v>2.4700000000000002</v>
      </c>
      <c r="F543" s="25">
        <f t="shared" si="24"/>
        <v>0.3985085915060862</v>
      </c>
      <c r="G543" s="29">
        <f t="shared" si="25"/>
        <v>1.8379931551860278</v>
      </c>
      <c r="H543" s="31">
        <f t="shared" si="26"/>
        <v>5.9672049221244086</v>
      </c>
    </row>
    <row r="544" spans="1:8" x14ac:dyDescent="0.3">
      <c r="A544" s="5">
        <v>0.26581621799999999</v>
      </c>
      <c r="B544" s="11">
        <v>0.88507392299999998</v>
      </c>
      <c r="C544" s="17">
        <v>2.4192536960000002</v>
      </c>
      <c r="D544">
        <v>2.4700000000000002</v>
      </c>
      <c r="F544" s="25">
        <f t="shared" si="24"/>
        <v>7.065826175182352E-2</v>
      </c>
      <c r="G544" s="29">
        <f t="shared" si="25"/>
        <v>0.78335584917460988</v>
      </c>
      <c r="H544" s="31">
        <f t="shared" si="26"/>
        <v>5.8527884456096615</v>
      </c>
    </row>
    <row r="545" spans="1:8" x14ac:dyDescent="0.3">
      <c r="A545" s="5">
        <v>1.499679556</v>
      </c>
      <c r="B545" s="11">
        <v>1.9754148250000001</v>
      </c>
      <c r="C545" s="17">
        <v>2.4737707410000001</v>
      </c>
      <c r="D545">
        <v>2.4700000000000002</v>
      </c>
      <c r="F545" s="25">
        <f t="shared" si="24"/>
        <v>2.2490387706843573</v>
      </c>
      <c r="G545" s="29">
        <f t="shared" si="25"/>
        <v>3.9022637308297812</v>
      </c>
      <c r="H545" s="31">
        <f t="shared" si="26"/>
        <v>6.1195416790276891</v>
      </c>
    </row>
    <row r="546" spans="1:8" x14ac:dyDescent="0.3">
      <c r="A546" s="5">
        <v>1.27948851</v>
      </c>
      <c r="B546" s="11">
        <v>1.8439564610000001</v>
      </c>
      <c r="C546" s="17">
        <v>2.4671978229999998</v>
      </c>
      <c r="D546">
        <v>2.4700000000000002</v>
      </c>
      <c r="F546" s="25">
        <f t="shared" si="24"/>
        <v>1.63709084722202</v>
      </c>
      <c r="G546" s="29">
        <f t="shared" si="25"/>
        <v>3.4001754300636451</v>
      </c>
      <c r="H546" s="31">
        <f t="shared" si="26"/>
        <v>6.0870650978159384</v>
      </c>
    </row>
    <row r="547" spans="1:8" x14ac:dyDescent="0.3">
      <c r="A547" s="5">
        <v>2.3134556110000002</v>
      </c>
      <c r="B547" s="11">
        <v>2.4063436459999998</v>
      </c>
      <c r="C547" s="17">
        <v>2.495317182</v>
      </c>
      <c r="D547">
        <v>2.4700000000000002</v>
      </c>
      <c r="F547" s="25">
        <f t="shared" si="24"/>
        <v>5.3520768640673841</v>
      </c>
      <c r="G547" s="29">
        <f t="shared" si="25"/>
        <v>5.7904897426445725</v>
      </c>
      <c r="H547" s="31">
        <f t="shared" si="26"/>
        <v>6.226607838784421</v>
      </c>
    </row>
    <row r="548" spans="1:8" x14ac:dyDescent="0.3">
      <c r="A548" s="5">
        <v>3.138370922</v>
      </c>
      <c r="B548" s="11">
        <v>2.825699148</v>
      </c>
      <c r="C548" s="17">
        <v>2.5162849569999999</v>
      </c>
      <c r="D548">
        <v>2.4700000000000002</v>
      </c>
      <c r="F548" s="25">
        <f t="shared" si="24"/>
        <v>9.84937204405513</v>
      </c>
      <c r="G548" s="29">
        <f t="shared" si="25"/>
        <v>7.9845756750079255</v>
      </c>
      <c r="H548" s="31">
        <f t="shared" si="26"/>
        <v>6.3316899848244912</v>
      </c>
    </row>
    <row r="549" spans="1:8" x14ac:dyDescent="0.3">
      <c r="A549" s="5">
        <v>1.244850002</v>
      </c>
      <c r="B549" s="11">
        <v>1.8222650119999999</v>
      </c>
      <c r="C549" s="17">
        <v>2.4661132509999999</v>
      </c>
      <c r="D549">
        <v>2.4700000000000002</v>
      </c>
      <c r="F549" s="25">
        <f t="shared" si="24"/>
        <v>1.5496515274793998</v>
      </c>
      <c r="G549" s="29">
        <f t="shared" si="25"/>
        <v>3.3206497739593597</v>
      </c>
      <c r="H549" s="31">
        <f t="shared" si="26"/>
        <v>6.0817145667577881</v>
      </c>
    </row>
    <row r="550" spans="1:8" x14ac:dyDescent="0.3">
      <c r="A550" s="5">
        <v>0.59816278599999995</v>
      </c>
      <c r="B550" s="11">
        <v>1.3231729729999999</v>
      </c>
      <c r="C550" s="17">
        <v>2.4411586490000001</v>
      </c>
      <c r="D550">
        <v>2.4700000000000002</v>
      </c>
      <c r="F550" s="25">
        <f t="shared" si="24"/>
        <v>0.35779871855528173</v>
      </c>
      <c r="G550" s="29">
        <f t="shared" si="25"/>
        <v>1.7507867164776585</v>
      </c>
      <c r="H550" s="31">
        <f t="shared" si="26"/>
        <v>5.9592555495875059</v>
      </c>
    </row>
    <row r="551" spans="1:8" x14ac:dyDescent="0.3">
      <c r="A551" s="5">
        <v>2.7668080690000001</v>
      </c>
      <c r="B551" s="11">
        <v>2.6341595629999999</v>
      </c>
      <c r="C551" s="17">
        <v>2.5067079780000001</v>
      </c>
      <c r="D551">
        <v>2.4700000000000002</v>
      </c>
      <c r="F551" s="25">
        <f t="shared" si="24"/>
        <v>7.655226890683509</v>
      </c>
      <c r="G551" s="29">
        <f t="shared" si="25"/>
        <v>6.9387966033443504</v>
      </c>
      <c r="H551" s="31">
        <f t="shared" si="26"/>
        <v>6.2835848869688489</v>
      </c>
    </row>
    <row r="552" spans="1:8" x14ac:dyDescent="0.3">
      <c r="A552" s="5">
        <v>4.3327127900000004</v>
      </c>
      <c r="B552" s="11">
        <v>3.610195171</v>
      </c>
      <c r="C552" s="17">
        <v>2.555509759</v>
      </c>
      <c r="D552">
        <v>2.4700000000000002</v>
      </c>
      <c r="F552" s="25">
        <f t="shared" si="24"/>
        <v>18.772400120629587</v>
      </c>
      <c r="G552" s="29">
        <f t="shared" si="25"/>
        <v>13.033509172711719</v>
      </c>
      <c r="H552" s="31">
        <f t="shared" si="26"/>
        <v>6.5306301283442378</v>
      </c>
    </row>
    <row r="553" spans="1:8" x14ac:dyDescent="0.3">
      <c r="A553" s="5">
        <v>1.6486098819999999</v>
      </c>
      <c r="B553" s="11">
        <v>2.0593191219999998</v>
      </c>
      <c r="C553" s="17">
        <v>2.4779659559999998</v>
      </c>
      <c r="D553">
        <v>2.4700000000000002</v>
      </c>
      <c r="F553" s="25">
        <f t="shared" si="24"/>
        <v>2.7179145430280536</v>
      </c>
      <c r="G553" s="29">
        <f t="shared" si="25"/>
        <v>4.2407952462348497</v>
      </c>
      <c r="H553" s="31">
        <f t="shared" si="26"/>
        <v>6.1403152790949926</v>
      </c>
    </row>
    <row r="554" spans="1:8" x14ac:dyDescent="0.3">
      <c r="A554" s="5">
        <v>2.4758140810000002</v>
      </c>
      <c r="B554" s="11">
        <v>2.4878741619999998</v>
      </c>
      <c r="C554" s="17">
        <v>2.4993937079999999</v>
      </c>
      <c r="D554">
        <v>2.4700000000000002</v>
      </c>
      <c r="F554" s="25">
        <f t="shared" si="24"/>
        <v>6.1296553636778759</v>
      </c>
      <c r="G554" s="29">
        <f t="shared" si="25"/>
        <v>6.1895178459472016</v>
      </c>
      <c r="H554" s="31">
        <f t="shared" si="26"/>
        <v>6.2469689075899888</v>
      </c>
    </row>
    <row r="555" spans="1:8" x14ac:dyDescent="0.3">
      <c r="A555" s="5">
        <v>2.7219458599999999</v>
      </c>
      <c r="B555" s="11">
        <v>2.6114972289999998</v>
      </c>
      <c r="C555" s="17">
        <v>2.5055748609999999</v>
      </c>
      <c r="D555">
        <v>2.4700000000000002</v>
      </c>
      <c r="F555" s="25">
        <f t="shared" si="24"/>
        <v>7.4089892647711393</v>
      </c>
      <c r="G555" s="29">
        <f t="shared" si="25"/>
        <v>6.8199177770746777</v>
      </c>
      <c r="H555" s="31">
        <f t="shared" si="26"/>
        <v>6.2779053840751686</v>
      </c>
    </row>
    <row r="556" spans="1:8" x14ac:dyDescent="0.3">
      <c r="A556" s="5">
        <v>3.1446272159999999</v>
      </c>
      <c r="B556" s="11">
        <v>2.8290085710000001</v>
      </c>
      <c r="C556" s="17">
        <v>2.5164504289999998</v>
      </c>
      <c r="D556">
        <v>2.4700000000000002</v>
      </c>
      <c r="F556" s="25">
        <f t="shared" si="24"/>
        <v>9.8886803276079096</v>
      </c>
      <c r="G556" s="29">
        <f t="shared" si="25"/>
        <v>8.0032894947914635</v>
      </c>
      <c r="H556" s="31">
        <f t="shared" si="26"/>
        <v>6.3325227616142827</v>
      </c>
    </row>
    <row r="557" spans="1:8" x14ac:dyDescent="0.3">
      <c r="A557" s="5">
        <v>2.8630939660000001</v>
      </c>
      <c r="B557" s="11">
        <v>2.683044904</v>
      </c>
      <c r="C557" s="17">
        <v>2.5091522450000001</v>
      </c>
      <c r="D557">
        <v>2.4700000000000002</v>
      </c>
      <c r="F557" s="25">
        <f t="shared" si="24"/>
        <v>8.1973070581456096</v>
      </c>
      <c r="G557" s="29">
        <f t="shared" si="25"/>
        <v>7.1987299568803689</v>
      </c>
      <c r="H557" s="31">
        <f t="shared" si="26"/>
        <v>6.2958449885885406</v>
      </c>
    </row>
    <row r="558" spans="1:8" x14ac:dyDescent="0.3">
      <c r="A558" s="5">
        <v>4.8371837519999996</v>
      </c>
      <c r="B558" s="11">
        <v>4.3443915909999999</v>
      </c>
      <c r="C558" s="17">
        <v>2.5922195800000001</v>
      </c>
      <c r="D558">
        <v>2.4700000000000002</v>
      </c>
      <c r="F558" s="25">
        <f t="shared" si="24"/>
        <v>23.398346650612794</v>
      </c>
      <c r="G558" s="29">
        <f t="shared" si="25"/>
        <v>18.873738295951512</v>
      </c>
      <c r="H558" s="31">
        <f t="shared" si="26"/>
        <v>6.7196023509353768</v>
      </c>
    </row>
    <row r="559" spans="1:8" x14ac:dyDescent="0.3">
      <c r="A559" s="5">
        <v>0.75884273800000002</v>
      </c>
      <c r="B559" s="11">
        <v>1.4711227499999999</v>
      </c>
      <c r="C559" s="17">
        <v>2.4485561370000002</v>
      </c>
      <c r="D559">
        <v>2.4700000000000002</v>
      </c>
      <c r="F559" s="25">
        <f t="shared" si="24"/>
        <v>0.57584230101533662</v>
      </c>
      <c r="G559" s="29">
        <f t="shared" si="25"/>
        <v>2.1642021455675624</v>
      </c>
      <c r="H559" s="31">
        <f t="shared" si="26"/>
        <v>5.995427156040364</v>
      </c>
    </row>
    <row r="560" spans="1:8" x14ac:dyDescent="0.3">
      <c r="A560" s="5">
        <v>4.2657246620000002</v>
      </c>
      <c r="B560" s="11">
        <v>3.5500161810000002</v>
      </c>
      <c r="C560" s="17">
        <v>2.5525008090000001</v>
      </c>
      <c r="D560">
        <v>2.4700000000000002</v>
      </c>
      <c r="F560" s="25">
        <f t="shared" si="24"/>
        <v>18.196406891995014</v>
      </c>
      <c r="G560" s="29">
        <f t="shared" si="25"/>
        <v>12.602614885361826</v>
      </c>
      <c r="H560" s="31">
        <f t="shared" si="26"/>
        <v>6.515260379945655</v>
      </c>
    </row>
    <row r="561" spans="1:8" x14ac:dyDescent="0.3">
      <c r="A561" s="5">
        <v>2.0174260689999999</v>
      </c>
      <c r="B561" s="11">
        <v>2.255664248</v>
      </c>
      <c r="C561" s="17">
        <v>2.4877832120000001</v>
      </c>
      <c r="D561">
        <v>2.4700000000000002</v>
      </c>
      <c r="F561" s="25">
        <f t="shared" si="24"/>
        <v>4.0700079438807926</v>
      </c>
      <c r="G561" s="29">
        <f t="shared" si="25"/>
        <v>5.0880211997054055</v>
      </c>
      <c r="H561" s="31">
        <f t="shared" si="26"/>
        <v>6.1890653099090374</v>
      </c>
    </row>
    <row r="562" spans="1:8" x14ac:dyDescent="0.3">
      <c r="A562" s="5">
        <v>0.183263649</v>
      </c>
      <c r="B562" s="11">
        <v>0.709077603</v>
      </c>
      <c r="C562" s="17">
        <v>2.4104538799999999</v>
      </c>
      <c r="D562">
        <v>2.4700000000000002</v>
      </c>
      <c r="F562" s="25">
        <f t="shared" si="24"/>
        <v>3.35855650447952E-2</v>
      </c>
      <c r="G562" s="29">
        <f t="shared" si="25"/>
        <v>0.50279104707622557</v>
      </c>
      <c r="H562" s="31">
        <f t="shared" si="26"/>
        <v>5.8102879076070542</v>
      </c>
    </row>
    <row r="563" spans="1:8" x14ac:dyDescent="0.3">
      <c r="A563" s="5">
        <v>0.20783104999999999</v>
      </c>
      <c r="B563" s="11">
        <v>0.767207957</v>
      </c>
      <c r="C563" s="17">
        <v>2.413360398</v>
      </c>
      <c r="D563">
        <v>2.4700000000000002</v>
      </c>
      <c r="F563" s="25">
        <f t="shared" si="24"/>
        <v>4.3193745344102495E-2</v>
      </c>
      <c r="G563" s="29">
        <f t="shared" si="25"/>
        <v>0.58860804928411381</v>
      </c>
      <c r="H563" s="31">
        <f t="shared" si="26"/>
        <v>5.8243084106347185</v>
      </c>
    </row>
    <row r="564" spans="1:8" x14ac:dyDescent="0.3">
      <c r="A564" s="5">
        <v>2.7074495679999999</v>
      </c>
      <c r="B564" s="11">
        <v>2.604187166</v>
      </c>
      <c r="C564" s="17">
        <v>2.5052093580000001</v>
      </c>
      <c r="D564">
        <v>2.4700000000000002</v>
      </c>
      <c r="F564" s="25">
        <f t="shared" si="24"/>
        <v>7.3302831632633865</v>
      </c>
      <c r="G564" s="29">
        <f t="shared" si="25"/>
        <v>6.7817907955591119</v>
      </c>
      <c r="H564" s="31">
        <f t="shared" si="26"/>
        <v>6.2760739274107724</v>
      </c>
    </row>
    <row r="565" spans="1:8" x14ac:dyDescent="0.3">
      <c r="A565" s="5">
        <v>1.568956572</v>
      </c>
      <c r="B565" s="11">
        <v>2.014868705</v>
      </c>
      <c r="C565" s="17">
        <v>2.475743435</v>
      </c>
      <c r="D565">
        <v>2.4700000000000002</v>
      </c>
      <c r="F565" s="25">
        <f t="shared" si="24"/>
        <v>2.4616247248219914</v>
      </c>
      <c r="G565" s="29">
        <f t="shared" si="25"/>
        <v>4.0596958983883775</v>
      </c>
      <c r="H565" s="31">
        <f t="shared" si="26"/>
        <v>6.1293055559455993</v>
      </c>
    </row>
    <row r="566" spans="1:8" x14ac:dyDescent="0.3">
      <c r="A566" s="5">
        <v>1.1648915070000001</v>
      </c>
      <c r="B566" s="11">
        <v>1.7709263099999999</v>
      </c>
      <c r="C566" s="17">
        <v>2.4635463149999999</v>
      </c>
      <c r="D566">
        <v>2.4700000000000002</v>
      </c>
      <c r="F566" s="25">
        <f t="shared" si="24"/>
        <v>1.3569722230807313</v>
      </c>
      <c r="G566" s="29">
        <f t="shared" si="25"/>
        <v>3.1361799954502159</v>
      </c>
      <c r="H566" s="31">
        <f t="shared" si="26"/>
        <v>6.069060446150079</v>
      </c>
    </row>
    <row r="567" spans="1:8" x14ac:dyDescent="0.3">
      <c r="A567" s="5">
        <v>0.55116428100000003</v>
      </c>
      <c r="B567" s="11">
        <v>1.2747105480000001</v>
      </c>
      <c r="C567" s="17">
        <v>2.438735527</v>
      </c>
      <c r="D567">
        <v>2.4700000000000002</v>
      </c>
      <c r="F567" s="25">
        <f t="shared" si="24"/>
        <v>0.30378206465024699</v>
      </c>
      <c r="G567" s="29">
        <f t="shared" si="25"/>
        <v>1.6248869811824604</v>
      </c>
      <c r="H567" s="31">
        <f t="shared" si="26"/>
        <v>5.9474309706519675</v>
      </c>
    </row>
    <row r="568" spans="1:8" x14ac:dyDescent="0.3">
      <c r="A568" s="5">
        <v>0.221411786</v>
      </c>
      <c r="B568" s="11">
        <v>0.79698026600000005</v>
      </c>
      <c r="C568" s="17">
        <v>2.414849013</v>
      </c>
      <c r="D568">
        <v>2.4700000000000002</v>
      </c>
      <c r="F568" s="25">
        <f t="shared" si="24"/>
        <v>4.9023178979709793E-2</v>
      </c>
      <c r="G568" s="29">
        <f t="shared" si="25"/>
        <v>0.63517754439343088</v>
      </c>
      <c r="H568" s="31">
        <f t="shared" si="26"/>
        <v>5.8314957555870741</v>
      </c>
    </row>
    <row r="569" spans="1:8" x14ac:dyDescent="0.3">
      <c r="A569" s="5">
        <v>3.170415357</v>
      </c>
      <c r="B569" s="11">
        <v>2.8426873719999999</v>
      </c>
      <c r="C569" s="17">
        <v>2.5171343689999999</v>
      </c>
      <c r="D569">
        <v>2.4700000000000002</v>
      </c>
      <c r="F569" s="25">
        <f t="shared" si="24"/>
        <v>10.051533535901438</v>
      </c>
      <c r="G569" s="29">
        <f t="shared" si="25"/>
        <v>8.0808714949282656</v>
      </c>
      <c r="H569" s="31">
        <f t="shared" si="26"/>
        <v>6.3359654316010277</v>
      </c>
    </row>
    <row r="570" spans="1:8" x14ac:dyDescent="0.3">
      <c r="A570" s="5">
        <v>4.6041749320000003</v>
      </c>
      <c r="B570" s="11">
        <v>3.9107126839999999</v>
      </c>
      <c r="C570" s="17">
        <v>2.5705356340000001</v>
      </c>
      <c r="D570">
        <v>2.4700000000000002</v>
      </c>
      <c r="F570" s="25">
        <f t="shared" si="24"/>
        <v>21.198426804457206</v>
      </c>
      <c r="G570" s="29">
        <f t="shared" si="25"/>
        <v>15.293673696798484</v>
      </c>
      <c r="H570" s="31">
        <f t="shared" si="26"/>
        <v>6.6076534456637823</v>
      </c>
    </row>
    <row r="571" spans="1:8" x14ac:dyDescent="0.3">
      <c r="A571" s="5">
        <v>3.4829248939999999</v>
      </c>
      <c r="B571" s="11">
        <v>3.014603471</v>
      </c>
      <c r="C571" s="17">
        <v>2.525730174</v>
      </c>
      <c r="D571">
        <v>2.4700000000000002</v>
      </c>
      <c r="F571" s="25">
        <f t="shared" si="24"/>
        <v>12.13076581724491</v>
      </c>
      <c r="G571" s="29">
        <f t="shared" si="25"/>
        <v>9.0878340873652483</v>
      </c>
      <c r="H571" s="31">
        <f t="shared" si="26"/>
        <v>6.3793129118540701</v>
      </c>
    </row>
    <row r="572" spans="1:8" x14ac:dyDescent="0.3">
      <c r="A572" s="5">
        <v>2.743308817</v>
      </c>
      <c r="B572" s="11">
        <v>2.622281563</v>
      </c>
      <c r="C572" s="17">
        <v>2.506114078</v>
      </c>
      <c r="D572">
        <v>2.4700000000000002</v>
      </c>
      <c r="F572" s="25">
        <f t="shared" si="24"/>
        <v>7.5257432654299397</v>
      </c>
      <c r="G572" s="29">
        <f t="shared" si="25"/>
        <v>6.8763605956497234</v>
      </c>
      <c r="H572" s="31">
        <f t="shared" si="26"/>
        <v>6.2806077719497901</v>
      </c>
    </row>
    <row r="573" spans="1:8" x14ac:dyDescent="0.3">
      <c r="A573" s="5">
        <v>3.4611041600000001</v>
      </c>
      <c r="B573" s="11">
        <v>3.002154762</v>
      </c>
      <c r="C573" s="17">
        <v>2.525107738</v>
      </c>
      <c r="D573">
        <v>2.4700000000000002</v>
      </c>
      <c r="F573" s="25">
        <f t="shared" si="24"/>
        <v>11.979242006369306</v>
      </c>
      <c r="G573" s="29">
        <f t="shared" si="25"/>
        <v>9.0129332149992774</v>
      </c>
      <c r="H573" s="31">
        <f t="shared" si="26"/>
        <v>6.3761690885074769</v>
      </c>
    </row>
    <row r="574" spans="1:8" x14ac:dyDescent="0.3">
      <c r="A574" s="5">
        <v>4.744712668</v>
      </c>
      <c r="B574" s="11">
        <v>4.1346848500000002</v>
      </c>
      <c r="C574" s="17">
        <v>2.581734242</v>
      </c>
      <c r="D574">
        <v>2.4700000000000002</v>
      </c>
      <c r="F574" s="25">
        <f t="shared" si="24"/>
        <v>22.512298301879678</v>
      </c>
      <c r="G574" s="29">
        <f t="shared" si="25"/>
        <v>17.095618808819523</v>
      </c>
      <c r="H574" s="31">
        <f t="shared" si="26"/>
        <v>6.665351696315315</v>
      </c>
    </row>
    <row r="575" spans="1:8" x14ac:dyDescent="0.3">
      <c r="A575" s="5">
        <v>1.2840662860000001</v>
      </c>
      <c r="B575" s="11">
        <v>1.846798631</v>
      </c>
      <c r="C575" s="17">
        <v>2.4673399319999998</v>
      </c>
      <c r="D575">
        <v>2.4700000000000002</v>
      </c>
      <c r="F575" s="25">
        <f t="shared" si="24"/>
        <v>1.6488262268418339</v>
      </c>
      <c r="G575" s="29">
        <f t="shared" si="25"/>
        <v>3.410665183463474</v>
      </c>
      <c r="H575" s="31">
        <f t="shared" si="26"/>
        <v>6.0877663400417639</v>
      </c>
    </row>
    <row r="576" spans="1:8" x14ac:dyDescent="0.3">
      <c r="A576" s="5">
        <v>0.89312418000000005</v>
      </c>
      <c r="B576" s="11">
        <v>1.5793821779999999</v>
      </c>
      <c r="C576" s="17">
        <v>2.453969109</v>
      </c>
      <c r="D576">
        <v>2.4700000000000002</v>
      </c>
      <c r="F576" s="25">
        <f t="shared" si="24"/>
        <v>0.79767080090067244</v>
      </c>
      <c r="G576" s="29">
        <f t="shared" si="25"/>
        <v>2.4944480641840232</v>
      </c>
      <c r="H576" s="31">
        <f t="shared" si="26"/>
        <v>6.0219643879262534</v>
      </c>
    </row>
    <row r="577" spans="1:8" x14ac:dyDescent="0.3">
      <c r="A577" s="5">
        <v>0.68941312899999996</v>
      </c>
      <c r="B577" s="11">
        <v>1.4101183930000001</v>
      </c>
      <c r="C577" s="17">
        <v>2.44550592</v>
      </c>
      <c r="D577">
        <v>2.4700000000000002</v>
      </c>
      <c r="F577" s="25">
        <f t="shared" si="24"/>
        <v>0.47529046243757056</v>
      </c>
      <c r="G577" s="29">
        <f t="shared" si="25"/>
        <v>1.9884338822769028</v>
      </c>
      <c r="H577" s="31">
        <f t="shared" si="26"/>
        <v>5.9804992047550467</v>
      </c>
    </row>
    <row r="578" spans="1:8" x14ac:dyDescent="0.3">
      <c r="A578" s="5">
        <v>4.0116580710000003</v>
      </c>
      <c r="B578" s="11">
        <v>3.3499796420000001</v>
      </c>
      <c r="C578" s="17">
        <v>2.5424989820000001</v>
      </c>
      <c r="D578">
        <v>2.4700000000000002</v>
      </c>
      <c r="F578" s="25">
        <f t="shared" si="24"/>
        <v>16.093400478619444</v>
      </c>
      <c r="G578" s="29">
        <f t="shared" si="25"/>
        <v>11.222363601814449</v>
      </c>
      <c r="H578" s="31">
        <f t="shared" si="26"/>
        <v>6.4643010734710371</v>
      </c>
    </row>
    <row r="579" spans="1:8" x14ac:dyDescent="0.3">
      <c r="A579" s="5">
        <v>2.6676229130000002</v>
      </c>
      <c r="B579" s="11">
        <v>2.584132807</v>
      </c>
      <c r="C579" s="17">
        <v>2.50420664</v>
      </c>
      <c r="D579">
        <v>2.4700000000000002</v>
      </c>
      <c r="F579" s="25">
        <f t="shared" ref="F579:F642" si="27">POWER(A579,2)</f>
        <v>7.1162120059626064</v>
      </c>
      <c r="G579" s="29">
        <f t="shared" ref="G579:G642" si="28">POWER(B579,2)</f>
        <v>6.6777423642136995</v>
      </c>
      <c r="H579" s="31">
        <f t="shared" ref="H579:H642" si="29">POWER(C579,2)</f>
        <v>6.2710508958200899</v>
      </c>
    </row>
    <row r="580" spans="1:8" x14ac:dyDescent="0.3">
      <c r="A580" s="5">
        <v>3.0657368690000002</v>
      </c>
      <c r="B580" s="11">
        <v>2.787532202</v>
      </c>
      <c r="C580" s="17">
        <v>2.5143766099999998</v>
      </c>
      <c r="D580">
        <v>2.4700000000000002</v>
      </c>
      <c r="F580" s="25">
        <f t="shared" si="27"/>
        <v>9.3987425499459238</v>
      </c>
      <c r="G580" s="29">
        <f t="shared" si="28"/>
        <v>7.7703357771869683</v>
      </c>
      <c r="H580" s="31">
        <f t="shared" si="29"/>
        <v>6.3220897369150908</v>
      </c>
    </row>
    <row r="581" spans="1:8" x14ac:dyDescent="0.3">
      <c r="A581" s="5">
        <v>3.5708182009999998</v>
      </c>
      <c r="B581" s="11">
        <v>3.0655897439999999</v>
      </c>
      <c r="C581" s="17">
        <v>2.5282794869999998</v>
      </c>
      <c r="D581">
        <v>2.4700000000000002</v>
      </c>
      <c r="F581" s="25">
        <f t="shared" si="27"/>
        <v>12.750742624592874</v>
      </c>
      <c r="G581" s="29">
        <f t="shared" si="28"/>
        <v>9.3978404785179848</v>
      </c>
      <c r="H581" s="31">
        <f t="shared" si="29"/>
        <v>6.3921971643849824</v>
      </c>
    </row>
    <row r="582" spans="1:8" x14ac:dyDescent="0.3">
      <c r="A582" s="5">
        <v>2.0627460549999999</v>
      </c>
      <c r="B582" s="11">
        <v>2.2790075669999998</v>
      </c>
      <c r="C582" s="17">
        <v>2.4889503780000002</v>
      </c>
      <c r="D582">
        <v>2.4700000000000002</v>
      </c>
      <c r="F582" s="25">
        <f t="shared" si="27"/>
        <v>4.2549212874180622</v>
      </c>
      <c r="G582" s="29">
        <f t="shared" si="28"/>
        <v>5.1938754904432587</v>
      </c>
      <c r="H582" s="31">
        <f t="shared" si="29"/>
        <v>6.1948739841463434</v>
      </c>
    </row>
    <row r="583" spans="1:8" x14ac:dyDescent="0.3">
      <c r="A583" s="5">
        <v>3.7510300000000001</v>
      </c>
      <c r="B583" s="11">
        <v>3.175138381</v>
      </c>
      <c r="C583" s="17">
        <v>2.533756919</v>
      </c>
      <c r="D583">
        <v>2.4700000000000002</v>
      </c>
      <c r="F583" s="25">
        <f t="shared" si="27"/>
        <v>14.070226060900001</v>
      </c>
      <c r="G583" s="29">
        <f t="shared" si="28"/>
        <v>10.0815037384993</v>
      </c>
      <c r="H583" s="31">
        <f t="shared" si="29"/>
        <v>6.4199241245803726</v>
      </c>
    </row>
    <row r="584" spans="1:8" x14ac:dyDescent="0.3">
      <c r="A584" s="5">
        <v>3.1379131440000001</v>
      </c>
      <c r="B584" s="11">
        <v>2.8254581320000001</v>
      </c>
      <c r="C584" s="17">
        <v>2.5162729069999998</v>
      </c>
      <c r="D584">
        <v>2.4700000000000002</v>
      </c>
      <c r="F584" s="25">
        <f t="shared" si="27"/>
        <v>9.8464988992879654</v>
      </c>
      <c r="G584" s="29">
        <f t="shared" si="28"/>
        <v>7.9832136556849296</v>
      </c>
      <c r="H584" s="31">
        <f t="shared" si="29"/>
        <v>6.3316293425022296</v>
      </c>
    </row>
    <row r="585" spans="1:8" x14ac:dyDescent="0.3">
      <c r="A585" s="5">
        <v>1.2875759149999999</v>
      </c>
      <c r="B585" s="11">
        <v>1.8489745980000001</v>
      </c>
      <c r="C585" s="17">
        <v>2.4674487300000001</v>
      </c>
      <c r="D585">
        <v>2.4700000000000002</v>
      </c>
      <c r="F585" s="25">
        <f t="shared" si="27"/>
        <v>1.657851736888087</v>
      </c>
      <c r="G585" s="29">
        <f t="shared" si="28"/>
        <v>3.4187070640492618</v>
      </c>
      <c r="H585" s="31">
        <f t="shared" si="29"/>
        <v>6.0883032351786133</v>
      </c>
    </row>
    <row r="586" spans="1:8" x14ac:dyDescent="0.3">
      <c r="A586" s="5">
        <v>1.411328471</v>
      </c>
      <c r="B586" s="11">
        <v>1.9238760340000001</v>
      </c>
      <c r="C586" s="17">
        <v>2.4711938020000002</v>
      </c>
      <c r="D586">
        <v>2.4700000000000002</v>
      </c>
      <c r="F586" s="25">
        <f t="shared" si="27"/>
        <v>1.9918480530551979</v>
      </c>
      <c r="G586" s="29">
        <f t="shared" si="28"/>
        <v>3.7012989941995693</v>
      </c>
      <c r="H586" s="31">
        <f t="shared" si="29"/>
        <v>6.1067988070432158</v>
      </c>
    </row>
    <row r="587" spans="1:8" x14ac:dyDescent="0.3">
      <c r="A587" s="5">
        <v>4.3116550189999998</v>
      </c>
      <c r="B587" s="11">
        <v>3.5908524929999999</v>
      </c>
      <c r="C587" s="17">
        <v>2.5545426249999998</v>
      </c>
      <c r="D587">
        <v>2.4700000000000002</v>
      </c>
      <c r="F587" s="25">
        <f t="shared" si="27"/>
        <v>18.590369002867888</v>
      </c>
      <c r="G587" s="29">
        <f t="shared" si="28"/>
        <v>12.894221626484313</v>
      </c>
      <c r="H587" s="31">
        <f t="shared" si="29"/>
        <v>6.5256880229418899</v>
      </c>
    </row>
    <row r="588" spans="1:8" x14ac:dyDescent="0.3">
      <c r="A588" s="5">
        <v>2.327036348</v>
      </c>
      <c r="B588" s="11">
        <v>2.4131796360000002</v>
      </c>
      <c r="C588" s="17">
        <v>2.4956589820000001</v>
      </c>
      <c r="D588">
        <v>2.4700000000000002</v>
      </c>
      <c r="F588" s="25">
        <f t="shared" si="27"/>
        <v>5.4150981649131769</v>
      </c>
      <c r="G588" s="29">
        <f t="shared" si="28"/>
        <v>5.8234359556050936</v>
      </c>
      <c r="H588" s="31">
        <f t="shared" si="29"/>
        <v>6.2283137544372771</v>
      </c>
    </row>
    <row r="589" spans="1:8" x14ac:dyDescent="0.3">
      <c r="A589" s="5">
        <v>1.03930784</v>
      </c>
      <c r="B589" s="11">
        <v>1.6861363920000001</v>
      </c>
      <c r="C589" s="17">
        <v>2.4593068200000001</v>
      </c>
      <c r="D589">
        <v>2.4700000000000002</v>
      </c>
      <c r="F589" s="25">
        <f t="shared" si="27"/>
        <v>1.0801607862854656</v>
      </c>
      <c r="G589" s="29">
        <f t="shared" si="28"/>
        <v>2.8430559324267781</v>
      </c>
      <c r="H589" s="31">
        <f t="shared" si="29"/>
        <v>6.0481900348985134</v>
      </c>
    </row>
    <row r="590" spans="1:8" x14ac:dyDescent="0.3">
      <c r="A590" s="5">
        <v>0.402691733</v>
      </c>
      <c r="B590" s="11">
        <v>1.098541424</v>
      </c>
      <c r="C590" s="17">
        <v>2.4299270709999998</v>
      </c>
      <c r="D590">
        <v>2.4700000000000002</v>
      </c>
      <c r="F590" s="25">
        <f t="shared" si="27"/>
        <v>0.16216063182654328</v>
      </c>
      <c r="G590" s="29">
        <f t="shared" si="28"/>
        <v>1.2067932602439477</v>
      </c>
      <c r="H590" s="31">
        <f t="shared" si="29"/>
        <v>5.9045455703786383</v>
      </c>
    </row>
    <row r="591" spans="1:8" x14ac:dyDescent="0.3">
      <c r="A591" s="5">
        <v>1.9812616350000001</v>
      </c>
      <c r="B591" s="11">
        <v>2.2369400260000001</v>
      </c>
      <c r="C591" s="17">
        <v>2.4868470010000001</v>
      </c>
      <c r="D591">
        <v>2.4700000000000002</v>
      </c>
      <c r="F591" s="25">
        <f t="shared" si="27"/>
        <v>3.9253976663228736</v>
      </c>
      <c r="G591" s="29">
        <f t="shared" si="28"/>
        <v>5.0039006799208812</v>
      </c>
      <c r="H591" s="31">
        <f t="shared" si="29"/>
        <v>6.1844080063826947</v>
      </c>
    </row>
    <row r="592" spans="1:8" x14ac:dyDescent="0.3">
      <c r="A592" s="5">
        <v>2.2316660050000001</v>
      </c>
      <c r="B592" s="11">
        <v>2.3650696400000002</v>
      </c>
      <c r="C592" s="17">
        <v>2.4932534820000001</v>
      </c>
      <c r="D592">
        <v>2.4700000000000002</v>
      </c>
      <c r="F592" s="25">
        <f t="shared" si="27"/>
        <v>4.9803331578726606</v>
      </c>
      <c r="G592" s="29">
        <f t="shared" si="28"/>
        <v>5.5935544020497305</v>
      </c>
      <c r="H592" s="31">
        <f t="shared" si="29"/>
        <v>6.2163129255051244</v>
      </c>
    </row>
    <row r="593" spans="1:8" x14ac:dyDescent="0.3">
      <c r="A593" s="5">
        <v>2.0470290229999999</v>
      </c>
      <c r="B593" s="11">
        <v>2.2709255690000001</v>
      </c>
      <c r="C593" s="17">
        <v>2.4885462779999998</v>
      </c>
      <c r="D593">
        <v>2.4700000000000002</v>
      </c>
      <c r="F593" s="25">
        <f t="shared" si="27"/>
        <v>4.1903278210043338</v>
      </c>
      <c r="G593" s="29">
        <f t="shared" si="28"/>
        <v>5.1571029399379738</v>
      </c>
      <c r="H593" s="31">
        <f t="shared" si="29"/>
        <v>6.1928625777476523</v>
      </c>
    </row>
    <row r="594" spans="1:8" x14ac:dyDescent="0.3">
      <c r="A594" s="5">
        <v>1.8262276070000001</v>
      </c>
      <c r="B594" s="11">
        <v>2.1555277450000001</v>
      </c>
      <c r="C594" s="17">
        <v>2.4827763869999999</v>
      </c>
      <c r="D594">
        <v>2.4700000000000002</v>
      </c>
      <c r="F594" s="25">
        <f t="shared" si="27"/>
        <v>3.3351072725689468</v>
      </c>
      <c r="G594" s="29">
        <f t="shared" si="28"/>
        <v>4.6462998594647855</v>
      </c>
      <c r="H594" s="31">
        <f t="shared" si="29"/>
        <v>6.1641785878447735</v>
      </c>
    </row>
    <row r="595" spans="1:8" x14ac:dyDescent="0.3">
      <c r="A595" s="5">
        <v>4.5377971739999996</v>
      </c>
      <c r="B595" s="11">
        <v>3.8258750190000002</v>
      </c>
      <c r="C595" s="17">
        <v>2.5662937509999999</v>
      </c>
      <c r="D595">
        <v>2.4700000000000002</v>
      </c>
      <c r="F595" s="25">
        <f t="shared" si="27"/>
        <v>20.591603192362381</v>
      </c>
      <c r="G595" s="29">
        <f t="shared" si="28"/>
        <v>14.637319661008252</v>
      </c>
      <c r="H595" s="31">
        <f t="shared" si="29"/>
        <v>6.5858636164216495</v>
      </c>
    </row>
    <row r="596" spans="1:8" x14ac:dyDescent="0.3">
      <c r="A596" s="5">
        <v>3.5842463449999999</v>
      </c>
      <c r="B596" s="11">
        <v>3.073506895</v>
      </c>
      <c r="C596" s="17">
        <v>2.5286753449999999</v>
      </c>
      <c r="D596">
        <v>2.4700000000000002</v>
      </c>
      <c r="F596" s="25">
        <f t="shared" si="27"/>
        <v>12.846821861645859</v>
      </c>
      <c r="G596" s="29">
        <f t="shared" si="28"/>
        <v>9.4464446336125416</v>
      </c>
      <c r="H596" s="31">
        <f t="shared" si="29"/>
        <v>6.3941990004108682</v>
      </c>
    </row>
    <row r="597" spans="1:8" x14ac:dyDescent="0.3">
      <c r="A597" s="5">
        <v>2.4185918759999998</v>
      </c>
      <c r="B597" s="11">
        <v>2.4591773300000002</v>
      </c>
      <c r="C597" s="17">
        <v>2.4979588669999999</v>
      </c>
      <c r="D597">
        <v>2.4700000000000002</v>
      </c>
      <c r="F597" s="25">
        <f t="shared" si="27"/>
        <v>5.8495866626531985</v>
      </c>
      <c r="G597" s="29">
        <f t="shared" si="28"/>
        <v>6.0475531403859293</v>
      </c>
      <c r="H597" s="31">
        <f t="shared" si="29"/>
        <v>6.2397985012239232</v>
      </c>
    </row>
    <row r="598" spans="1:8" x14ac:dyDescent="0.3">
      <c r="A598" s="5">
        <v>2.9419843129999999</v>
      </c>
      <c r="B598" s="11">
        <v>2.7234230579999998</v>
      </c>
      <c r="C598" s="17">
        <v>2.5111711529999998</v>
      </c>
      <c r="D598">
        <v>2.4700000000000002</v>
      </c>
      <c r="F598" s="25">
        <f t="shared" si="27"/>
        <v>8.6552716979380815</v>
      </c>
      <c r="G598" s="29">
        <f t="shared" si="28"/>
        <v>7.4170331528460709</v>
      </c>
      <c r="H598" s="31">
        <f t="shared" si="29"/>
        <v>6.3059805596593481</v>
      </c>
    </row>
    <row r="599" spans="1:8" x14ac:dyDescent="0.3">
      <c r="A599" s="5">
        <v>2.9464094969999999</v>
      </c>
      <c r="B599" s="11">
        <v>2.725697931</v>
      </c>
      <c r="C599" s="17">
        <v>2.5112848969999999</v>
      </c>
      <c r="D599">
        <v>2.4700000000000002</v>
      </c>
      <c r="F599" s="25">
        <f t="shared" si="27"/>
        <v>8.6813289240117921</v>
      </c>
      <c r="G599" s="29">
        <f t="shared" si="28"/>
        <v>7.4294292110576805</v>
      </c>
      <c r="H599" s="31">
        <f t="shared" si="29"/>
        <v>6.3065518339002997</v>
      </c>
    </row>
    <row r="600" spans="1:8" x14ac:dyDescent="0.3">
      <c r="A600" s="5">
        <v>2.7481917779999998</v>
      </c>
      <c r="B600" s="11">
        <v>2.6247474300000002</v>
      </c>
      <c r="C600" s="17">
        <v>2.5062373720000002</v>
      </c>
      <c r="D600">
        <v>2.4700000000000002</v>
      </c>
      <c r="F600" s="25">
        <f t="shared" si="27"/>
        <v>7.5525580486667998</v>
      </c>
      <c r="G600" s="29">
        <f t="shared" si="28"/>
        <v>6.8892990712916058</v>
      </c>
      <c r="H600" s="31">
        <f t="shared" si="29"/>
        <v>6.2812257648094674</v>
      </c>
    </row>
    <row r="601" spans="1:8" x14ac:dyDescent="0.3">
      <c r="A601" s="5">
        <v>2.7826776940000002</v>
      </c>
      <c r="B601" s="11">
        <v>2.6421915390000001</v>
      </c>
      <c r="C601" s="17">
        <v>2.507109577</v>
      </c>
      <c r="D601">
        <v>2.4700000000000002</v>
      </c>
      <c r="F601" s="25">
        <f t="shared" si="27"/>
        <v>7.7432951486851591</v>
      </c>
      <c r="G601" s="29">
        <f t="shared" si="28"/>
        <v>6.981176128763189</v>
      </c>
      <c r="H601" s="31">
        <f t="shared" si="29"/>
        <v>6.285598431085119</v>
      </c>
    </row>
    <row r="602" spans="1:8" x14ac:dyDescent="0.3">
      <c r="A602" s="5">
        <v>0.20630512400000001</v>
      </c>
      <c r="B602" s="11">
        <v>0.763765519</v>
      </c>
      <c r="C602" s="17">
        <v>2.4131882760000001</v>
      </c>
      <c r="D602">
        <v>2.4700000000000002</v>
      </c>
      <c r="F602" s="25">
        <f t="shared" si="27"/>
        <v>4.2561804188655378E-2</v>
      </c>
      <c r="G602" s="29">
        <f t="shared" si="28"/>
        <v>0.58333776801333936</v>
      </c>
      <c r="H602" s="31">
        <f t="shared" si="29"/>
        <v>5.8234776554238525</v>
      </c>
    </row>
    <row r="603" spans="1:8" x14ac:dyDescent="0.3">
      <c r="A603" s="5">
        <v>0.31159398199999999</v>
      </c>
      <c r="B603" s="11">
        <v>0.964404598</v>
      </c>
      <c r="C603" s="17">
        <v>2.4232202300000001</v>
      </c>
      <c r="D603">
        <v>2.4700000000000002</v>
      </c>
      <c r="F603" s="25">
        <f t="shared" si="27"/>
        <v>9.7090809618616325E-2</v>
      </c>
      <c r="G603" s="29">
        <f t="shared" si="28"/>
        <v>0.93007622864354156</v>
      </c>
      <c r="H603" s="31">
        <f t="shared" si="29"/>
        <v>5.8719962830812529</v>
      </c>
    </row>
    <row r="604" spans="1:8" x14ac:dyDescent="0.3">
      <c r="A604" s="5">
        <v>0.49058504000000003</v>
      </c>
      <c r="B604" s="11">
        <v>1.207644409</v>
      </c>
      <c r="C604" s="17">
        <v>2.4353822200000002</v>
      </c>
      <c r="D604">
        <v>2.4700000000000002</v>
      </c>
      <c r="F604" s="25">
        <f t="shared" si="27"/>
        <v>0.24067368147180163</v>
      </c>
      <c r="G604" s="29">
        <f t="shared" si="28"/>
        <v>1.4584050185889594</v>
      </c>
      <c r="H604" s="31">
        <f t="shared" si="29"/>
        <v>5.9310865574921294</v>
      </c>
    </row>
    <row r="605" spans="1:8" x14ac:dyDescent="0.3">
      <c r="A605" s="5">
        <v>3.0959501939999998</v>
      </c>
      <c r="B605" s="11">
        <v>2.8033551370000001</v>
      </c>
      <c r="C605" s="17">
        <v>2.5151677569999999</v>
      </c>
      <c r="D605">
        <v>2.4700000000000002</v>
      </c>
      <c r="F605" s="25">
        <f t="shared" si="27"/>
        <v>9.5849076037286363</v>
      </c>
      <c r="G605" s="29">
        <f t="shared" si="28"/>
        <v>7.8588000241442888</v>
      </c>
      <c r="H605" s="31">
        <f t="shared" si="29"/>
        <v>6.3260688458524106</v>
      </c>
    </row>
    <row r="606" spans="1:8" x14ac:dyDescent="0.3">
      <c r="A606" s="5">
        <v>4.4749290439999996</v>
      </c>
      <c r="B606" s="11">
        <v>3.7534883350000001</v>
      </c>
      <c r="C606" s="17">
        <v>2.5626744170000002</v>
      </c>
      <c r="D606">
        <v>2.4700000000000002</v>
      </c>
      <c r="F606" s="25">
        <f t="shared" si="27"/>
        <v>20.024989948834751</v>
      </c>
      <c r="G606" s="29">
        <f t="shared" si="28"/>
        <v>14.088674680981073</v>
      </c>
      <c r="H606" s="31">
        <f t="shared" si="29"/>
        <v>6.567300167546291</v>
      </c>
    </row>
    <row r="607" spans="1:8" x14ac:dyDescent="0.3">
      <c r="A607" s="5">
        <v>4.3923764759999999</v>
      </c>
      <c r="B607" s="11">
        <v>3.6674001139999999</v>
      </c>
      <c r="C607" s="17">
        <v>2.5583700060000001</v>
      </c>
      <c r="D607">
        <v>2.4700000000000002</v>
      </c>
      <c r="F607" s="25">
        <f t="shared" si="27"/>
        <v>19.292971106918177</v>
      </c>
      <c r="G607" s="29">
        <f t="shared" si="28"/>
        <v>13.449823596167212</v>
      </c>
      <c r="H607" s="31">
        <f t="shared" si="29"/>
        <v>6.5452570876004401</v>
      </c>
    </row>
    <row r="608" spans="1:8" x14ac:dyDescent="0.3">
      <c r="A608" s="5">
        <v>6.1799982000000003E-2</v>
      </c>
      <c r="B608" s="11">
        <v>0.25425749199999997</v>
      </c>
      <c r="C608" s="17">
        <v>2.3877128750000001</v>
      </c>
      <c r="D608">
        <v>2.4700000000000002</v>
      </c>
      <c r="F608" s="25">
        <f t="shared" si="27"/>
        <v>3.8192377752003246E-3</v>
      </c>
      <c r="G608" s="29">
        <f t="shared" si="28"/>
        <v>6.4646872238130051E-2</v>
      </c>
      <c r="H608" s="31">
        <f t="shared" si="29"/>
        <v>5.7011727734407662</v>
      </c>
    </row>
    <row r="609" spans="1:8" x14ac:dyDescent="0.3">
      <c r="A609" s="5">
        <v>1.52989288</v>
      </c>
      <c r="B609" s="11">
        <v>1.9927179610000001</v>
      </c>
      <c r="C609" s="17">
        <v>2.4746358979999998</v>
      </c>
      <c r="D609">
        <v>2.4700000000000002</v>
      </c>
      <c r="F609" s="25">
        <f t="shared" si="27"/>
        <v>2.3405722242746942</v>
      </c>
      <c r="G609" s="29">
        <f t="shared" si="28"/>
        <v>3.9709248720919978</v>
      </c>
      <c r="H609" s="31">
        <f t="shared" si="29"/>
        <v>6.1238228276702653</v>
      </c>
    </row>
    <row r="610" spans="1:8" x14ac:dyDescent="0.3">
      <c r="A610" s="5">
        <v>4.964751122</v>
      </c>
      <c r="B610" s="11">
        <v>4.9547261999999996</v>
      </c>
      <c r="C610" s="17">
        <v>2.6227363100000001</v>
      </c>
      <c r="D610">
        <v>2.4700000000000002</v>
      </c>
      <c r="F610" s="25">
        <f t="shared" si="27"/>
        <v>24.64875370340026</v>
      </c>
      <c r="G610" s="29">
        <f t="shared" si="28"/>
        <v>24.549311716966436</v>
      </c>
      <c r="H610" s="31">
        <f t="shared" si="29"/>
        <v>6.8787457517924162</v>
      </c>
    </row>
    <row r="611" spans="1:8" x14ac:dyDescent="0.3">
      <c r="A611" s="5">
        <v>3.8369396039999999</v>
      </c>
      <c r="B611" s="11">
        <v>3.2302719500000001</v>
      </c>
      <c r="C611" s="17">
        <v>2.5365135969999999</v>
      </c>
      <c r="D611">
        <v>2.4700000000000002</v>
      </c>
      <c r="F611" s="25">
        <f t="shared" si="27"/>
        <v>14.722105524743675</v>
      </c>
      <c r="G611" s="29">
        <f t="shared" si="28"/>
        <v>10.434656870956804</v>
      </c>
      <c r="H611" s="31">
        <f t="shared" si="29"/>
        <v>6.4339012277658778</v>
      </c>
    </row>
    <row r="612" spans="1:8" x14ac:dyDescent="0.3">
      <c r="A612" s="5">
        <v>4.1123691520000003</v>
      </c>
      <c r="B612" s="11">
        <v>3.4248333299999998</v>
      </c>
      <c r="C612" s="17">
        <v>2.5462416659999998</v>
      </c>
      <c r="D612">
        <v>2.4700000000000002</v>
      </c>
      <c r="F612" s="25">
        <f t="shared" si="27"/>
        <v>16.911580042321201</v>
      </c>
      <c r="G612" s="29">
        <f t="shared" si="28"/>
        <v>11.729483338278888</v>
      </c>
      <c r="H612" s="31">
        <f t="shared" si="29"/>
        <v>6.4833466216744542</v>
      </c>
    </row>
    <row r="613" spans="1:8" x14ac:dyDescent="0.3">
      <c r="A613" s="5">
        <v>1.845606861</v>
      </c>
      <c r="B613" s="11">
        <v>2.1658186769999999</v>
      </c>
      <c r="C613" s="17">
        <v>2.4832909339999998</v>
      </c>
      <c r="D613">
        <v>2.4700000000000002</v>
      </c>
      <c r="F613" s="25">
        <f t="shared" si="27"/>
        <v>3.4062646853702736</v>
      </c>
      <c r="G613" s="29">
        <f t="shared" si="28"/>
        <v>4.6907705416420296</v>
      </c>
      <c r="H613" s="31">
        <f t="shared" si="29"/>
        <v>6.1667338628865913</v>
      </c>
    </row>
    <row r="614" spans="1:8" x14ac:dyDescent="0.3">
      <c r="A614" s="5">
        <v>2.759788812</v>
      </c>
      <c r="B614" s="11">
        <v>2.6306091239999998</v>
      </c>
      <c r="C614" s="17">
        <v>2.5065304560000001</v>
      </c>
      <c r="D614">
        <v>2.4700000000000002</v>
      </c>
      <c r="F614" s="25">
        <f t="shared" si="27"/>
        <v>7.6164342868403718</v>
      </c>
      <c r="G614" s="29">
        <f t="shared" si="28"/>
        <v>6.9201043632720465</v>
      </c>
      <c r="H614" s="31">
        <f t="shared" si="29"/>
        <v>6.2826949268555685</v>
      </c>
    </row>
    <row r="615" spans="1:8" x14ac:dyDescent="0.3">
      <c r="A615" s="5">
        <v>0.79699087499999999</v>
      </c>
      <c r="B615" s="11">
        <v>1.503066478</v>
      </c>
      <c r="C615" s="17">
        <v>2.450153324</v>
      </c>
      <c r="D615">
        <v>2.4700000000000002</v>
      </c>
      <c r="F615" s="25">
        <f t="shared" si="27"/>
        <v>0.63519445483326564</v>
      </c>
      <c r="G615" s="29">
        <f t="shared" si="28"/>
        <v>2.2592088372873245</v>
      </c>
      <c r="H615" s="31">
        <f t="shared" si="29"/>
        <v>6.0032513111082491</v>
      </c>
    </row>
    <row r="616" spans="1:8" x14ac:dyDescent="0.3">
      <c r="A616" s="5">
        <v>2.4782555620000002</v>
      </c>
      <c r="B616" s="11">
        <v>2.4890985689999998</v>
      </c>
      <c r="C616" s="17">
        <v>2.499454928</v>
      </c>
      <c r="D616">
        <v>2.4700000000000002</v>
      </c>
      <c r="F616" s="25">
        <f t="shared" si="27"/>
        <v>6.1417506305839371</v>
      </c>
      <c r="G616" s="29">
        <f t="shared" si="28"/>
        <v>6.1956116861978465</v>
      </c>
      <c r="H616" s="31">
        <f t="shared" si="29"/>
        <v>6.2472749371034855</v>
      </c>
    </row>
    <row r="617" spans="1:8" x14ac:dyDescent="0.3">
      <c r="A617" s="5">
        <v>3.1586657310000001</v>
      </c>
      <c r="B617" s="11">
        <v>2.8364471010000001</v>
      </c>
      <c r="C617" s="17">
        <v>2.516822355</v>
      </c>
      <c r="D617">
        <v>2.4700000000000002</v>
      </c>
      <c r="F617" s="25">
        <f t="shared" si="27"/>
        <v>9.9771692001937655</v>
      </c>
      <c r="G617" s="29">
        <f t="shared" si="28"/>
        <v>8.0454321567713052</v>
      </c>
      <c r="H617" s="31">
        <f t="shared" si="29"/>
        <v>6.3343947666277458</v>
      </c>
    </row>
    <row r="618" spans="1:8" x14ac:dyDescent="0.3">
      <c r="A618" s="5">
        <v>2.136448256</v>
      </c>
      <c r="B618" s="11">
        <v>2.3167209010000001</v>
      </c>
      <c r="C618" s="17">
        <v>2.490836045</v>
      </c>
      <c r="D618">
        <v>2.4700000000000002</v>
      </c>
      <c r="F618" s="25">
        <f t="shared" si="27"/>
        <v>4.5644111505654417</v>
      </c>
      <c r="G618" s="29">
        <f t="shared" si="28"/>
        <v>5.3671957331302522</v>
      </c>
      <c r="H618" s="31">
        <f t="shared" si="29"/>
        <v>6.2042642030712418</v>
      </c>
    </row>
    <row r="619" spans="1:8" x14ac:dyDescent="0.3">
      <c r="A619" s="5">
        <v>7.3549608000000002E-2</v>
      </c>
      <c r="B619" s="11">
        <v>0.32218765199999999</v>
      </c>
      <c r="C619" s="17">
        <v>2.3911093829999999</v>
      </c>
      <c r="D619">
        <v>2.4700000000000002</v>
      </c>
      <c r="F619" s="25">
        <f t="shared" si="27"/>
        <v>5.409544836953664E-3</v>
      </c>
      <c r="G619" s="29">
        <f t="shared" si="28"/>
        <v>0.1038048831012731</v>
      </c>
      <c r="H619" s="31">
        <f t="shared" si="29"/>
        <v>5.7174040814706402</v>
      </c>
    </row>
    <row r="620" spans="1:8" x14ac:dyDescent="0.3">
      <c r="A620" s="5">
        <v>0.36942655699999999</v>
      </c>
      <c r="B620" s="11">
        <v>1.0525482770000001</v>
      </c>
      <c r="C620" s="17">
        <v>2.4276274139999998</v>
      </c>
      <c r="D620">
        <v>2.4700000000000002</v>
      </c>
      <c r="F620" s="25">
        <f t="shared" si="27"/>
        <v>0.13647598101687425</v>
      </c>
      <c r="G620" s="29">
        <f t="shared" si="28"/>
        <v>1.1078578754156689</v>
      </c>
      <c r="H620" s="31">
        <f t="shared" si="29"/>
        <v>5.8933748612043262</v>
      </c>
    </row>
    <row r="621" spans="1:8" x14ac:dyDescent="0.3">
      <c r="A621" s="5">
        <v>3.505050813</v>
      </c>
      <c r="B621" s="11">
        <v>3.0273079749999998</v>
      </c>
      <c r="C621" s="17">
        <v>2.5263653989999999</v>
      </c>
      <c r="D621">
        <v>2.4700000000000002</v>
      </c>
      <c r="F621" s="25">
        <f t="shared" si="27"/>
        <v>12.28538120171196</v>
      </c>
      <c r="G621" s="29">
        <f t="shared" si="28"/>
        <v>9.1645935754985999</v>
      </c>
      <c r="H621" s="31">
        <f t="shared" si="29"/>
        <v>6.3825221292644283</v>
      </c>
    </row>
    <row r="622" spans="1:8" x14ac:dyDescent="0.3">
      <c r="A622" s="5">
        <v>0.49287392800000002</v>
      </c>
      <c r="B622" s="11">
        <v>1.2102842170000001</v>
      </c>
      <c r="C622" s="17">
        <v>2.4355142110000001</v>
      </c>
      <c r="D622">
        <v>2.4700000000000002</v>
      </c>
      <c r="F622" s="25">
        <f t="shared" si="27"/>
        <v>0.24292470890214921</v>
      </c>
      <c r="G622" s="29">
        <f t="shared" si="28"/>
        <v>1.4647878859193033</v>
      </c>
      <c r="H622" s="31">
        <f t="shared" si="29"/>
        <v>5.931729471982953</v>
      </c>
    </row>
    <row r="623" spans="1:8" x14ac:dyDescent="0.3">
      <c r="A623" s="5">
        <v>2.4518570510000002</v>
      </c>
      <c r="B623" s="11">
        <v>2.4758620109999998</v>
      </c>
      <c r="C623" s="17">
        <v>2.498793101</v>
      </c>
      <c r="D623">
        <v>2.4700000000000002</v>
      </c>
      <c r="F623" s="25">
        <f t="shared" si="27"/>
        <v>6.0116029985384172</v>
      </c>
      <c r="G623" s="29">
        <f t="shared" si="28"/>
        <v>6.1298926975129628</v>
      </c>
      <c r="H623" s="31">
        <f t="shared" si="29"/>
        <v>6.2439669616051958</v>
      </c>
    </row>
    <row r="624" spans="1:8" x14ac:dyDescent="0.3">
      <c r="A624" s="5">
        <v>3.9866328929999999</v>
      </c>
      <c r="B624" s="11">
        <v>3.3321103449999998</v>
      </c>
      <c r="C624" s="17">
        <v>2.5416055169999998</v>
      </c>
      <c r="D624">
        <v>2.4700000000000002</v>
      </c>
      <c r="F624" s="25">
        <f t="shared" si="27"/>
        <v>15.893241823549548</v>
      </c>
      <c r="G624" s="29">
        <f t="shared" si="28"/>
        <v>11.102959351256018</v>
      </c>
      <c r="H624" s="31">
        <f t="shared" si="29"/>
        <v>6.4597586040448363</v>
      </c>
    </row>
    <row r="625" spans="1:8" x14ac:dyDescent="0.3">
      <c r="A625" s="5">
        <v>1.1108737449999999</v>
      </c>
      <c r="B625" s="11">
        <v>1.735130872</v>
      </c>
      <c r="C625" s="17">
        <v>2.461756544</v>
      </c>
      <c r="D625">
        <v>2.4700000000000002</v>
      </c>
      <c r="F625" s="25">
        <f t="shared" si="27"/>
        <v>1.2340404773303248</v>
      </c>
      <c r="G625" s="29">
        <f t="shared" si="28"/>
        <v>3.0106791429674806</v>
      </c>
      <c r="H625" s="31">
        <f t="shared" si="29"/>
        <v>6.0602452819268242</v>
      </c>
    </row>
    <row r="626" spans="1:8" x14ac:dyDescent="0.3">
      <c r="A626" s="5">
        <v>0.164799951</v>
      </c>
      <c r="B626" s="11">
        <v>0.661033545</v>
      </c>
      <c r="C626" s="17">
        <v>2.408051677</v>
      </c>
      <c r="D626">
        <v>2.4700000000000002</v>
      </c>
      <c r="F626" s="25">
        <f t="shared" si="27"/>
        <v>2.71590238496024E-2</v>
      </c>
      <c r="G626" s="29">
        <f t="shared" si="28"/>
        <v>0.43696534761526701</v>
      </c>
      <c r="H626" s="31">
        <f t="shared" si="29"/>
        <v>5.7987128791025127</v>
      </c>
    </row>
    <row r="627" spans="1:8" x14ac:dyDescent="0.3">
      <c r="A627" s="5">
        <v>2.3833429979999998</v>
      </c>
      <c r="B627" s="11">
        <v>2.4414831110000002</v>
      </c>
      <c r="C627" s="17">
        <v>2.497074156</v>
      </c>
      <c r="D627">
        <v>2.4700000000000002</v>
      </c>
      <c r="F627" s="25">
        <f t="shared" si="27"/>
        <v>5.6803238461156269</v>
      </c>
      <c r="G627" s="29">
        <f t="shared" si="28"/>
        <v>5.9608397812982394</v>
      </c>
      <c r="H627" s="31">
        <f t="shared" si="29"/>
        <v>6.2353793405631128</v>
      </c>
    </row>
    <row r="628" spans="1:8" x14ac:dyDescent="0.3">
      <c r="A628" s="5">
        <v>3.1028168580000002</v>
      </c>
      <c r="B628" s="11">
        <v>2.8069612830000001</v>
      </c>
      <c r="C628" s="17">
        <v>2.5153480639999999</v>
      </c>
      <c r="D628">
        <v>2.4700000000000002</v>
      </c>
      <c r="F628" s="25">
        <f t="shared" si="27"/>
        <v>9.6274724542889931</v>
      </c>
      <c r="G628" s="29">
        <f t="shared" si="28"/>
        <v>7.8790316442610067</v>
      </c>
      <c r="H628" s="31">
        <f t="shared" si="29"/>
        <v>6.3269758830685472</v>
      </c>
    </row>
    <row r="629" spans="1:8" x14ac:dyDescent="0.3">
      <c r="A629" s="5">
        <v>4.7746208079999999</v>
      </c>
      <c r="B629" s="11">
        <v>4.1945978129999997</v>
      </c>
      <c r="C629" s="17">
        <v>2.5847298909999998</v>
      </c>
      <c r="D629">
        <v>2.4700000000000002</v>
      </c>
      <c r="F629" s="25">
        <f t="shared" si="27"/>
        <v>22.797003860186571</v>
      </c>
      <c r="G629" s="29">
        <f t="shared" si="28"/>
        <v>17.59465081282438</v>
      </c>
      <c r="H629" s="31">
        <f t="shared" si="29"/>
        <v>6.6808286094288709</v>
      </c>
    </row>
    <row r="630" spans="1:8" x14ac:dyDescent="0.3">
      <c r="A630" s="5">
        <v>2.9049043239999999</v>
      </c>
      <c r="B630" s="11">
        <v>2.7044032499999999</v>
      </c>
      <c r="C630" s="17">
        <v>2.510220162</v>
      </c>
      <c r="D630">
        <v>2.4700000000000002</v>
      </c>
      <c r="F630" s="25">
        <f t="shared" si="27"/>
        <v>8.4384691315938962</v>
      </c>
      <c r="G630" s="29">
        <f t="shared" si="28"/>
        <v>7.3137969386105617</v>
      </c>
      <c r="H630" s="31">
        <f t="shared" si="29"/>
        <v>6.3012052617113063</v>
      </c>
    </row>
    <row r="631" spans="1:8" x14ac:dyDescent="0.3">
      <c r="A631" s="5">
        <v>2.668538469</v>
      </c>
      <c r="B631" s="11">
        <v>2.5845932390000002</v>
      </c>
      <c r="C631" s="17">
        <v>2.5042296620000002</v>
      </c>
      <c r="D631">
        <v>2.4700000000000002</v>
      </c>
      <c r="F631" s="25">
        <f t="shared" si="27"/>
        <v>7.1210975605328644</v>
      </c>
      <c r="G631" s="29">
        <f t="shared" si="28"/>
        <v>6.6801222110845115</v>
      </c>
      <c r="H631" s="31">
        <f t="shared" si="29"/>
        <v>6.2711662000406356</v>
      </c>
    </row>
    <row r="632" spans="1:8" x14ac:dyDescent="0.3">
      <c r="A632" s="5">
        <v>2.6392406990000001</v>
      </c>
      <c r="B632" s="11">
        <v>2.5698616990000001</v>
      </c>
      <c r="C632" s="17">
        <v>2.5034930850000001</v>
      </c>
      <c r="D632">
        <v>2.4700000000000002</v>
      </c>
      <c r="F632" s="25">
        <f t="shared" si="27"/>
        <v>6.965591467258009</v>
      </c>
      <c r="G632" s="29">
        <f t="shared" si="28"/>
        <v>6.6041891519871667</v>
      </c>
      <c r="H632" s="31">
        <f t="shared" si="29"/>
        <v>6.267477626642818</v>
      </c>
    </row>
    <row r="633" spans="1:8" x14ac:dyDescent="0.3">
      <c r="A633" s="5">
        <v>2.2644734030000002</v>
      </c>
      <c r="B633" s="11">
        <v>2.3816485909999998</v>
      </c>
      <c r="C633" s="17">
        <v>2.4940824300000002</v>
      </c>
      <c r="D633">
        <v>2.4700000000000002</v>
      </c>
      <c r="F633" s="25">
        <f t="shared" si="27"/>
        <v>5.1278397928944015</v>
      </c>
      <c r="G633" s="29">
        <f t="shared" si="28"/>
        <v>5.6722500110122844</v>
      </c>
      <c r="H633" s="31">
        <f t="shared" si="29"/>
        <v>6.2204471676347062</v>
      </c>
    </row>
    <row r="634" spans="1:8" x14ac:dyDescent="0.3">
      <c r="A634" s="5">
        <v>0.31113620400000003</v>
      </c>
      <c r="B634" s="11">
        <v>0.96365881200000003</v>
      </c>
      <c r="C634" s="17">
        <v>2.4231829409999999</v>
      </c>
      <c r="D634">
        <v>2.4700000000000002</v>
      </c>
      <c r="F634" s="25">
        <f t="shared" si="27"/>
        <v>9.6805737439529638E-2</v>
      </c>
      <c r="G634" s="29">
        <f t="shared" si="28"/>
        <v>0.92863830594525143</v>
      </c>
      <c r="H634" s="31">
        <f t="shared" si="29"/>
        <v>5.8718155655534092</v>
      </c>
    </row>
    <row r="635" spans="1:8" x14ac:dyDescent="0.3">
      <c r="A635" s="5">
        <v>1.298715171</v>
      </c>
      <c r="B635" s="11">
        <v>1.855861746</v>
      </c>
      <c r="C635" s="17">
        <v>2.467793087</v>
      </c>
      <c r="D635">
        <v>2.4700000000000002</v>
      </c>
      <c r="F635" s="25">
        <f t="shared" si="27"/>
        <v>1.6866610953855592</v>
      </c>
      <c r="G635" s="29">
        <f t="shared" si="28"/>
        <v>3.4442228202661682</v>
      </c>
      <c r="H635" s="31">
        <f t="shared" si="29"/>
        <v>6.0900027202449891</v>
      </c>
    </row>
    <row r="636" spans="1:8" x14ac:dyDescent="0.3">
      <c r="A636" s="5">
        <v>2.7651295509999998</v>
      </c>
      <c r="B636" s="11">
        <v>2.6333103229999999</v>
      </c>
      <c r="C636" s="17">
        <v>2.506665516</v>
      </c>
      <c r="D636">
        <v>2.4700000000000002</v>
      </c>
      <c r="F636" s="25">
        <f t="shared" si="27"/>
        <v>7.6459414338134604</v>
      </c>
      <c r="G636" s="29">
        <f t="shared" si="28"/>
        <v>6.934323257218364</v>
      </c>
      <c r="H636" s="31">
        <f t="shared" si="29"/>
        <v>6.2833720091035463</v>
      </c>
    </row>
    <row r="637" spans="1:8" x14ac:dyDescent="0.3">
      <c r="A637" s="5">
        <v>3.1437116610000002</v>
      </c>
      <c r="B637" s="11">
        <v>2.8285242660000001</v>
      </c>
      <c r="C637" s="17">
        <v>2.5164262129999999</v>
      </c>
      <c r="D637">
        <v>2.4700000000000002</v>
      </c>
      <c r="F637" s="25">
        <f t="shared" si="27"/>
        <v>9.8829230075073795</v>
      </c>
      <c r="G637" s="29">
        <f t="shared" si="28"/>
        <v>8.0005495233508395</v>
      </c>
      <c r="H637" s="31">
        <f t="shared" si="29"/>
        <v>6.332400885473521</v>
      </c>
    </row>
    <row r="638" spans="1:8" x14ac:dyDescent="0.3">
      <c r="A638" s="5">
        <v>0.98376415299999997</v>
      </c>
      <c r="B638" s="11">
        <v>1.6467234390000001</v>
      </c>
      <c r="C638" s="17">
        <v>2.4573361720000002</v>
      </c>
      <c r="D638">
        <v>2.4700000000000002</v>
      </c>
      <c r="F638" s="25">
        <f t="shared" si="27"/>
        <v>0.9677919087278074</v>
      </c>
      <c r="G638" s="29">
        <f t="shared" si="28"/>
        <v>2.7116980845519869</v>
      </c>
      <c r="H638" s="31">
        <f t="shared" si="29"/>
        <v>6.0385010622196145</v>
      </c>
    </row>
    <row r="639" spans="1:8" x14ac:dyDescent="0.3">
      <c r="A639" s="5">
        <v>3.1118198189999999</v>
      </c>
      <c r="B639" s="11">
        <v>2.8116952030000002</v>
      </c>
      <c r="C639" s="17">
        <v>2.5155847599999999</v>
      </c>
      <c r="D639">
        <v>2.4700000000000002</v>
      </c>
      <c r="F639" s="25">
        <f t="shared" si="27"/>
        <v>9.6834225859211926</v>
      </c>
      <c r="G639" s="29">
        <f t="shared" si="28"/>
        <v>7.9056299145732121</v>
      </c>
      <c r="H639" s="31">
        <f t="shared" si="29"/>
        <v>6.3281666847442573</v>
      </c>
    </row>
    <row r="640" spans="1:8" x14ac:dyDescent="0.3">
      <c r="A640" s="5">
        <v>4.5558030949999999</v>
      </c>
      <c r="B640" s="11">
        <v>3.847937086</v>
      </c>
      <c r="C640" s="17">
        <v>2.5673968540000001</v>
      </c>
      <c r="D640">
        <v>2.4700000000000002</v>
      </c>
      <c r="F640" s="25">
        <f t="shared" si="27"/>
        <v>20.755341840411578</v>
      </c>
      <c r="G640" s="29">
        <f t="shared" si="28"/>
        <v>14.806619817814171</v>
      </c>
      <c r="H640" s="31">
        <f t="shared" si="29"/>
        <v>6.591526605929098</v>
      </c>
    </row>
    <row r="641" spans="1:8" x14ac:dyDescent="0.3">
      <c r="A641" s="5">
        <v>4.9211096530000003</v>
      </c>
      <c r="B641" s="11">
        <v>4.6499909050000001</v>
      </c>
      <c r="C641" s="17">
        <v>2.607499545</v>
      </c>
      <c r="D641">
        <v>2.4700000000000002</v>
      </c>
      <c r="F641" s="25">
        <f t="shared" si="27"/>
        <v>24.217320216849782</v>
      </c>
      <c r="G641" s="29">
        <f t="shared" si="28"/>
        <v>21.622415416582719</v>
      </c>
      <c r="H641" s="31">
        <f t="shared" si="29"/>
        <v>6.7990538771752069</v>
      </c>
    </row>
    <row r="642" spans="1:8" x14ac:dyDescent="0.3">
      <c r="A642" s="5">
        <v>2.6900540180000001</v>
      </c>
      <c r="B642" s="11">
        <v>2.5954230470000001</v>
      </c>
      <c r="C642" s="17">
        <v>2.504771152</v>
      </c>
      <c r="D642">
        <v>2.4700000000000002</v>
      </c>
      <c r="F642" s="25">
        <f t="shared" si="27"/>
        <v>7.2363906197579446</v>
      </c>
      <c r="G642" s="29">
        <f t="shared" si="28"/>
        <v>6.7362207928987647</v>
      </c>
      <c r="H642" s="31">
        <f t="shared" si="29"/>
        <v>6.2738785238914074</v>
      </c>
    </row>
    <row r="643" spans="1:8" x14ac:dyDescent="0.3">
      <c r="A643" s="5">
        <v>1.4183477280000001</v>
      </c>
      <c r="B643" s="11">
        <v>1.928025603</v>
      </c>
      <c r="C643" s="17">
        <v>2.4714012799999998</v>
      </c>
      <c r="D643">
        <v>2.4700000000000002</v>
      </c>
      <c r="F643" s="25">
        <f t="shared" ref="F643:F706" si="30">POWER(A643,2)</f>
        <v>2.0117102775227624</v>
      </c>
      <c r="G643" s="29">
        <f t="shared" ref="G643:G706" si="31">POWER(B643,2)</f>
        <v>3.7172827258235137</v>
      </c>
      <c r="H643" s="31">
        <f t="shared" ref="H643:H706" si="32">POWER(C643,2)</f>
        <v>6.1078242867856378</v>
      </c>
    </row>
    <row r="644" spans="1:8" x14ac:dyDescent="0.3">
      <c r="A644" s="5">
        <v>0.73717459600000002</v>
      </c>
      <c r="B644" s="11">
        <v>1.452500846</v>
      </c>
      <c r="C644" s="17">
        <v>2.4476250419999999</v>
      </c>
      <c r="D644">
        <v>2.4700000000000002</v>
      </c>
      <c r="F644" s="25">
        <f t="shared" si="30"/>
        <v>0.54342638498776319</v>
      </c>
      <c r="G644" s="29">
        <f t="shared" si="31"/>
        <v>2.1097587076307156</v>
      </c>
      <c r="H644" s="31">
        <f t="shared" si="32"/>
        <v>5.9908683462255015</v>
      </c>
    </row>
    <row r="645" spans="1:8" x14ac:dyDescent="0.3">
      <c r="A645" s="5">
        <v>3.942075869</v>
      </c>
      <c r="B645" s="11">
        <v>3.30093514</v>
      </c>
      <c r="C645" s="17">
        <v>2.5400467569999998</v>
      </c>
      <c r="D645">
        <v>2.4700000000000002</v>
      </c>
      <c r="F645" s="25">
        <f t="shared" si="30"/>
        <v>15.539962156952106</v>
      </c>
      <c r="G645" s="29">
        <f t="shared" si="31"/>
        <v>10.89617279848682</v>
      </c>
      <c r="H645" s="31">
        <f t="shared" si="32"/>
        <v>6.4518375277462159</v>
      </c>
    </row>
    <row r="646" spans="1:8" x14ac:dyDescent="0.3">
      <c r="A646" s="5">
        <v>0.322580645</v>
      </c>
      <c r="B646" s="11">
        <v>0.98207153300000005</v>
      </c>
      <c r="C646" s="17">
        <v>2.4241035769999999</v>
      </c>
      <c r="D646">
        <v>2.4700000000000002</v>
      </c>
      <c r="F646" s="25">
        <f t="shared" si="30"/>
        <v>0.10405827252861602</v>
      </c>
      <c r="G646" s="29">
        <f t="shared" si="31"/>
        <v>0.96446449592897021</v>
      </c>
      <c r="H646" s="31">
        <f t="shared" si="32"/>
        <v>5.8762781520241942</v>
      </c>
    </row>
    <row r="647" spans="1:8" x14ac:dyDescent="0.3">
      <c r="A647" s="5">
        <v>2.2557756279999999</v>
      </c>
      <c r="B647" s="11">
        <v>2.377256869</v>
      </c>
      <c r="C647" s="17">
        <v>2.4938628430000001</v>
      </c>
      <c r="D647">
        <v>2.4700000000000002</v>
      </c>
      <c r="F647" s="25">
        <f t="shared" si="30"/>
        <v>5.0885236838787939</v>
      </c>
      <c r="G647" s="29">
        <f t="shared" si="31"/>
        <v>5.6513502212076832</v>
      </c>
      <c r="H647" s="31">
        <f t="shared" si="32"/>
        <v>6.2193518796960428</v>
      </c>
    </row>
    <row r="648" spans="1:8" x14ac:dyDescent="0.3">
      <c r="A648" s="5">
        <v>3.5514389479999999</v>
      </c>
      <c r="B648" s="11">
        <v>3.0542256079999999</v>
      </c>
      <c r="C648" s="17">
        <v>2.5277112800000001</v>
      </c>
      <c r="D648">
        <v>2.4700000000000002</v>
      </c>
      <c r="F648" s="25">
        <f t="shared" si="30"/>
        <v>12.612718601371347</v>
      </c>
      <c r="G648" s="29">
        <f t="shared" si="31"/>
        <v>9.3282940645629697</v>
      </c>
      <c r="H648" s="31">
        <f t="shared" si="32"/>
        <v>6.3893243150392394</v>
      </c>
    </row>
    <row r="649" spans="1:8" x14ac:dyDescent="0.3">
      <c r="A649" s="5">
        <v>4.9197363200000002</v>
      </c>
      <c r="B649" s="11">
        <v>4.643096935</v>
      </c>
      <c r="C649" s="17">
        <v>2.6071548469999999</v>
      </c>
      <c r="D649">
        <v>2.4700000000000002</v>
      </c>
      <c r="F649" s="25">
        <f t="shared" si="30"/>
        <v>24.203805458327142</v>
      </c>
      <c r="G649" s="29">
        <f t="shared" si="31"/>
        <v>21.558349147806393</v>
      </c>
      <c r="H649" s="31">
        <f t="shared" si="32"/>
        <v>6.7972563962355927</v>
      </c>
    </row>
    <row r="650" spans="1:8" x14ac:dyDescent="0.3">
      <c r="A650" s="5">
        <v>2.9287087619999999</v>
      </c>
      <c r="B650" s="11">
        <v>2.716605258</v>
      </c>
      <c r="C650" s="17">
        <v>2.5108302629999999</v>
      </c>
      <c r="D650">
        <v>2.4700000000000002</v>
      </c>
      <c r="F650" s="25">
        <f t="shared" si="30"/>
        <v>8.5773350126155723</v>
      </c>
      <c r="G650" s="29">
        <f t="shared" si="31"/>
        <v>7.3799441277932463</v>
      </c>
      <c r="H650" s="31">
        <f t="shared" si="32"/>
        <v>6.3042686095966483</v>
      </c>
    </row>
    <row r="651" spans="1:8" x14ac:dyDescent="0.3">
      <c r="A651" s="5">
        <v>1.4252143930000001</v>
      </c>
      <c r="B651" s="11">
        <v>1.9320751279999999</v>
      </c>
      <c r="C651" s="17">
        <v>2.4716037559999999</v>
      </c>
      <c r="D651">
        <v>2.4700000000000002</v>
      </c>
      <c r="F651" s="25">
        <f t="shared" si="30"/>
        <v>2.0312360660143587</v>
      </c>
      <c r="G651" s="29">
        <f t="shared" si="31"/>
        <v>3.732914300236216</v>
      </c>
      <c r="H651" s="31">
        <f t="shared" si="32"/>
        <v>6.1088251266733069</v>
      </c>
    </row>
    <row r="652" spans="1:8" x14ac:dyDescent="0.3">
      <c r="A652" s="5">
        <v>4.2701498459999998</v>
      </c>
      <c r="B652" s="11">
        <v>3.5538747119999998</v>
      </c>
      <c r="C652" s="17">
        <v>2.5526937360000002</v>
      </c>
      <c r="D652">
        <v>2.4700000000000002</v>
      </c>
      <c r="F652" s="25">
        <f t="shared" si="30"/>
        <v>18.234179707293823</v>
      </c>
      <c r="G652" s="29">
        <f t="shared" si="31"/>
        <v>12.630025468593082</v>
      </c>
      <c r="H652" s="31">
        <f t="shared" si="32"/>
        <v>6.5162453098136384</v>
      </c>
    </row>
    <row r="653" spans="1:8" x14ac:dyDescent="0.3">
      <c r="A653" s="5">
        <v>0.51515244000000004</v>
      </c>
      <c r="B653" s="11">
        <v>1.2355295159999999</v>
      </c>
      <c r="C653" s="17">
        <v>2.4367764759999999</v>
      </c>
      <c r="D653">
        <v>2.4700000000000002</v>
      </c>
      <c r="F653" s="25">
        <f t="shared" si="30"/>
        <v>0.26538203643795366</v>
      </c>
      <c r="G653" s="29">
        <f t="shared" si="31"/>
        <v>1.5265331849071941</v>
      </c>
      <c r="H653" s="31">
        <f t="shared" si="32"/>
        <v>5.9378795939869784</v>
      </c>
    </row>
    <row r="654" spans="1:8" x14ac:dyDescent="0.3">
      <c r="A654" s="5">
        <v>0.59251686100000001</v>
      </c>
      <c r="B654" s="11">
        <v>1.317497726</v>
      </c>
      <c r="C654" s="17">
        <v>2.440874886</v>
      </c>
      <c r="D654">
        <v>2.4700000000000002</v>
      </c>
      <c r="F654" s="25">
        <f t="shared" si="30"/>
        <v>0.35107623056929332</v>
      </c>
      <c r="G654" s="29">
        <f t="shared" si="31"/>
        <v>1.7358002580151712</v>
      </c>
      <c r="H654" s="31">
        <f t="shared" si="32"/>
        <v>5.9578702091055131</v>
      </c>
    </row>
    <row r="655" spans="1:8" x14ac:dyDescent="0.3">
      <c r="A655" s="5">
        <v>1.9667653430000001</v>
      </c>
      <c r="B655" s="11">
        <v>2.2294094100000001</v>
      </c>
      <c r="C655" s="17">
        <v>2.4864704710000001</v>
      </c>
      <c r="D655">
        <v>2.4700000000000002</v>
      </c>
      <c r="F655" s="25">
        <f t="shared" si="30"/>
        <v>3.8681659144259077</v>
      </c>
      <c r="G655" s="29">
        <f t="shared" si="31"/>
        <v>4.9702663173965487</v>
      </c>
      <c r="H655" s="31">
        <f t="shared" si="32"/>
        <v>6.1825354031549624</v>
      </c>
    </row>
    <row r="656" spans="1:8" x14ac:dyDescent="0.3">
      <c r="A656" s="5">
        <v>1.3916440320000001</v>
      </c>
      <c r="B656" s="11">
        <v>1.9121867530000001</v>
      </c>
      <c r="C656" s="17">
        <v>2.470609338</v>
      </c>
      <c r="D656">
        <v>2.4700000000000002</v>
      </c>
      <c r="F656" s="25">
        <f t="shared" si="30"/>
        <v>1.9366731118012173</v>
      </c>
      <c r="G656" s="29">
        <f t="shared" si="31"/>
        <v>3.6564581783486831</v>
      </c>
      <c r="H656" s="31">
        <f t="shared" si="32"/>
        <v>6.1039105010127983</v>
      </c>
    </row>
    <row r="657" spans="1:8" x14ac:dyDescent="0.3">
      <c r="A657" s="5">
        <v>4.8745689260000002</v>
      </c>
      <c r="B657" s="11">
        <v>4.4584877010000001</v>
      </c>
      <c r="C657" s="17">
        <v>2.5979243849999998</v>
      </c>
      <c r="D657">
        <v>2.4700000000000002</v>
      </c>
      <c r="F657" s="25">
        <f t="shared" si="30"/>
        <v>23.761422214324796</v>
      </c>
      <c r="G657" s="29">
        <f t="shared" si="31"/>
        <v>19.878112579968267</v>
      </c>
      <c r="H657" s="31">
        <f t="shared" si="32"/>
        <v>6.7492111101776269</v>
      </c>
    </row>
    <row r="658" spans="1:8" x14ac:dyDescent="0.3">
      <c r="A658" s="5">
        <v>4.4537186799999997</v>
      </c>
      <c r="B658" s="11">
        <v>3.7304940360000001</v>
      </c>
      <c r="C658" s="17">
        <v>2.5615247019999998</v>
      </c>
      <c r="D658">
        <v>2.4700000000000002</v>
      </c>
      <c r="F658" s="25">
        <f t="shared" si="30"/>
        <v>19.835610080580938</v>
      </c>
      <c r="G658" s="29">
        <f t="shared" si="31"/>
        <v>13.916585752631569</v>
      </c>
      <c r="H658" s="31">
        <f t="shared" si="32"/>
        <v>6.5614087989561876</v>
      </c>
    </row>
    <row r="659" spans="1:8" x14ac:dyDescent="0.3">
      <c r="A659" s="5">
        <v>2.2324289679999998</v>
      </c>
      <c r="B659" s="11">
        <v>2.3654550379999999</v>
      </c>
      <c r="C659" s="17">
        <v>2.4932727520000002</v>
      </c>
      <c r="D659">
        <v>2.4700000000000002</v>
      </c>
      <c r="F659" s="25">
        <f t="shared" si="30"/>
        <v>4.983739097165544</v>
      </c>
      <c r="G659" s="29">
        <f t="shared" si="31"/>
        <v>5.5953775367995808</v>
      </c>
      <c r="H659" s="31">
        <f t="shared" si="32"/>
        <v>6.2164090158656542</v>
      </c>
    </row>
    <row r="660" spans="1:8" x14ac:dyDescent="0.3">
      <c r="A660" s="5">
        <v>2.0505386520000002</v>
      </c>
      <c r="B660" s="11">
        <v>2.2727320529999999</v>
      </c>
      <c r="C660" s="17">
        <v>2.4886366029999998</v>
      </c>
      <c r="D660">
        <v>2.4700000000000002</v>
      </c>
      <c r="F660" s="25">
        <f t="shared" si="30"/>
        <v>4.2047087633459777</v>
      </c>
      <c r="G660" s="29">
        <f t="shared" si="31"/>
        <v>5.1653109847335941</v>
      </c>
      <c r="H660" s="31">
        <f t="shared" si="32"/>
        <v>6.1933121417913783</v>
      </c>
    </row>
    <row r="661" spans="1:8" x14ac:dyDescent="0.3">
      <c r="A661" s="5">
        <v>2.5247962890000002</v>
      </c>
      <c r="B661" s="11">
        <v>2.512430519</v>
      </c>
      <c r="C661" s="17">
        <v>2.5006215260000002</v>
      </c>
      <c r="D661">
        <v>2.4700000000000002</v>
      </c>
      <c r="F661" s="25">
        <f t="shared" si="30"/>
        <v>6.3745963009481725</v>
      </c>
      <c r="G661" s="29">
        <f t="shared" si="31"/>
        <v>6.3123071128026096</v>
      </c>
      <c r="H661" s="31">
        <f t="shared" si="32"/>
        <v>6.2531080162945694</v>
      </c>
    </row>
    <row r="662" spans="1:8" x14ac:dyDescent="0.3">
      <c r="A662" s="5">
        <v>0.63982055100000002</v>
      </c>
      <c r="B662" s="11">
        <v>1.3639319780000001</v>
      </c>
      <c r="C662" s="17">
        <v>2.4431965990000002</v>
      </c>
      <c r="D662">
        <v>2.4700000000000002</v>
      </c>
      <c r="F662" s="25">
        <f t="shared" si="30"/>
        <v>0.40937033748194362</v>
      </c>
      <c r="G662" s="29">
        <f t="shared" si="31"/>
        <v>1.8603104406109927</v>
      </c>
      <c r="H662" s="31">
        <f t="shared" si="32"/>
        <v>5.9692096213651675</v>
      </c>
    </row>
    <row r="663" spans="1:8" x14ac:dyDescent="0.3">
      <c r="A663" s="5">
        <v>2.2092349009999999</v>
      </c>
      <c r="B663" s="11">
        <v>2.353712325</v>
      </c>
      <c r="C663" s="17">
        <v>2.4926856160000002</v>
      </c>
      <c r="D663">
        <v>2.4700000000000002</v>
      </c>
      <c r="F663" s="25">
        <f t="shared" si="30"/>
        <v>4.8807188477964791</v>
      </c>
      <c r="G663" s="29">
        <f t="shared" si="31"/>
        <v>5.5399617088569055</v>
      </c>
      <c r="H663" s="31">
        <f t="shared" si="32"/>
        <v>6.2134815802133003</v>
      </c>
    </row>
    <row r="664" spans="1:8" x14ac:dyDescent="0.3">
      <c r="A664" s="5">
        <v>3.6703085419999999</v>
      </c>
      <c r="B664" s="11">
        <v>3.1251434570000001</v>
      </c>
      <c r="C664" s="17">
        <v>2.5312571730000002</v>
      </c>
      <c r="D664">
        <v>2.4700000000000002</v>
      </c>
      <c r="F664" s="25">
        <f t="shared" si="30"/>
        <v>13.471164793478165</v>
      </c>
      <c r="G664" s="29">
        <f t="shared" si="31"/>
        <v>9.7665216268299115</v>
      </c>
      <c r="H664" s="31">
        <f t="shared" si="32"/>
        <v>6.4072628758639532</v>
      </c>
    </row>
    <row r="665" spans="1:8" x14ac:dyDescent="0.3">
      <c r="A665" s="5">
        <v>1.539048433</v>
      </c>
      <c r="B665" s="11">
        <v>1.99793164</v>
      </c>
      <c r="C665" s="17">
        <v>2.474896582</v>
      </c>
      <c r="D665">
        <v>2.4700000000000002</v>
      </c>
      <c r="F665" s="25">
        <f t="shared" si="30"/>
        <v>2.3686700791197555</v>
      </c>
      <c r="G665" s="29">
        <f t="shared" si="31"/>
        <v>3.9917308381130896</v>
      </c>
      <c r="H665" s="31">
        <f t="shared" si="32"/>
        <v>6.1251130915952823</v>
      </c>
    </row>
    <row r="666" spans="1:8" x14ac:dyDescent="0.3">
      <c r="A666" s="5">
        <v>1.399426252</v>
      </c>
      <c r="B666" s="11">
        <v>1.916818355</v>
      </c>
      <c r="C666" s="17">
        <v>2.4708409179999999</v>
      </c>
      <c r="D666">
        <v>2.4700000000000002</v>
      </c>
      <c r="F666" s="25">
        <f t="shared" si="30"/>
        <v>1.9583938347867675</v>
      </c>
      <c r="G666" s="29">
        <f t="shared" si="31"/>
        <v>3.6741926060649059</v>
      </c>
      <c r="H666" s="31">
        <f t="shared" si="32"/>
        <v>6.1050548420630824</v>
      </c>
    </row>
    <row r="667" spans="1:8" x14ac:dyDescent="0.3">
      <c r="A667" s="5">
        <v>3.2520523699999999</v>
      </c>
      <c r="B667" s="11">
        <v>2.8864283830000002</v>
      </c>
      <c r="C667" s="17">
        <v>2.5193214190000002</v>
      </c>
      <c r="D667">
        <v>2.4700000000000002</v>
      </c>
      <c r="F667" s="25">
        <f t="shared" si="30"/>
        <v>10.575844617222616</v>
      </c>
      <c r="G667" s="29">
        <f t="shared" si="31"/>
        <v>8.3314688101879959</v>
      </c>
      <c r="H667" s="31">
        <f t="shared" si="32"/>
        <v>6.346980412232174</v>
      </c>
    </row>
    <row r="668" spans="1:8" x14ac:dyDescent="0.3">
      <c r="A668" s="5">
        <v>0.39292580999999999</v>
      </c>
      <c r="B668" s="11">
        <v>1.08534693</v>
      </c>
      <c r="C668" s="17">
        <v>2.429267346</v>
      </c>
      <c r="D668">
        <v>2.4700000000000002</v>
      </c>
      <c r="F668" s="25">
        <f t="shared" si="30"/>
        <v>0.1543906921641561</v>
      </c>
      <c r="G668" s="29">
        <f t="shared" si="31"/>
        <v>1.1779779584604251</v>
      </c>
      <c r="H668" s="31">
        <f t="shared" si="32"/>
        <v>5.901339838341884</v>
      </c>
    </row>
    <row r="669" spans="1:8" x14ac:dyDescent="0.3">
      <c r="A669" s="5">
        <v>2.3751030000000002</v>
      </c>
      <c r="B669" s="11">
        <v>2.4373449100000002</v>
      </c>
      <c r="C669" s="17">
        <v>2.4968672449999998</v>
      </c>
      <c r="D669">
        <v>2.4700000000000002</v>
      </c>
      <c r="F669" s="25">
        <f t="shared" si="30"/>
        <v>5.641114260609001</v>
      </c>
      <c r="G669" s="29">
        <f t="shared" si="31"/>
        <v>5.9406502103029091</v>
      </c>
      <c r="H669" s="31">
        <f t="shared" si="32"/>
        <v>6.2343460391538894</v>
      </c>
    </row>
    <row r="670" spans="1:8" x14ac:dyDescent="0.3">
      <c r="A670" s="5">
        <v>4.2092654190000003</v>
      </c>
      <c r="B670" s="11">
        <v>3.5021040000000001</v>
      </c>
      <c r="C670" s="17">
        <v>2.5501052</v>
      </c>
      <c r="D670">
        <v>2.4700000000000002</v>
      </c>
      <c r="F670" s="25">
        <f t="shared" si="30"/>
        <v>17.717915367589249</v>
      </c>
      <c r="G670" s="29">
        <f t="shared" si="31"/>
        <v>12.264732426816002</v>
      </c>
      <c r="H670" s="31">
        <f t="shared" si="32"/>
        <v>6.5030365310670399</v>
      </c>
    </row>
    <row r="671" spans="1:8" x14ac:dyDescent="0.3">
      <c r="A671" s="5">
        <v>3.8790551469999999</v>
      </c>
      <c r="B671" s="11">
        <v>3.2581218139999999</v>
      </c>
      <c r="C671" s="17">
        <v>2.537906091</v>
      </c>
      <c r="D671">
        <v>2.4700000000000002</v>
      </c>
      <c r="F671" s="25">
        <f t="shared" si="30"/>
        <v>15.04706883346719</v>
      </c>
      <c r="G671" s="29">
        <f t="shared" si="31"/>
        <v>10.61535775486265</v>
      </c>
      <c r="H671" s="31">
        <f t="shared" si="32"/>
        <v>6.4409673267349001</v>
      </c>
    </row>
    <row r="672" spans="1:8" x14ac:dyDescent="0.3">
      <c r="A672" s="5">
        <v>1.3139744250000001</v>
      </c>
      <c r="B672" s="11">
        <v>1.865247731</v>
      </c>
      <c r="C672" s="17">
        <v>2.4682623869999998</v>
      </c>
      <c r="D672">
        <v>2.4700000000000002</v>
      </c>
      <c r="F672" s="25">
        <f t="shared" si="30"/>
        <v>1.7265287895540808</v>
      </c>
      <c r="G672" s="29">
        <f t="shared" si="31"/>
        <v>3.4791490980006481</v>
      </c>
      <c r="H672" s="31">
        <f t="shared" si="32"/>
        <v>6.0923192110789364</v>
      </c>
    </row>
    <row r="673" spans="1:8" x14ac:dyDescent="0.3">
      <c r="A673" s="5">
        <v>1.293679617</v>
      </c>
      <c r="B673" s="11">
        <v>1.8527535479999999</v>
      </c>
      <c r="C673" s="17">
        <v>2.4676376769999999</v>
      </c>
      <c r="D673">
        <v>2.4700000000000002</v>
      </c>
      <c r="F673" s="25">
        <f t="shared" si="30"/>
        <v>1.6736069514412666</v>
      </c>
      <c r="G673" s="29">
        <f t="shared" si="31"/>
        <v>3.432695709626588</v>
      </c>
      <c r="H673" s="31">
        <f t="shared" si="32"/>
        <v>6.0892357049499557</v>
      </c>
    </row>
    <row r="674" spans="1:8" x14ac:dyDescent="0.3">
      <c r="A674" s="5">
        <v>2.144688253</v>
      </c>
      <c r="B674" s="11">
        <v>2.320920493</v>
      </c>
      <c r="C674" s="17">
        <v>2.4910460250000002</v>
      </c>
      <c r="D674">
        <v>2.4700000000000002</v>
      </c>
      <c r="F674" s="25">
        <f t="shared" si="30"/>
        <v>4.5996877025561922</v>
      </c>
      <c r="G674" s="29">
        <f t="shared" si="31"/>
        <v>5.3866719348273628</v>
      </c>
      <c r="H674" s="31">
        <f t="shared" si="32"/>
        <v>6.2053102986683015</v>
      </c>
    </row>
    <row r="675" spans="1:8" x14ac:dyDescent="0.3">
      <c r="A675" s="5">
        <v>1.7897579880000001</v>
      </c>
      <c r="B675" s="11">
        <v>2.136061148</v>
      </c>
      <c r="C675" s="17">
        <v>2.481803057</v>
      </c>
      <c r="D675">
        <v>2.4700000000000002</v>
      </c>
      <c r="F675" s="25">
        <f t="shared" si="30"/>
        <v>3.2032336556098082</v>
      </c>
      <c r="G675" s="29">
        <f t="shared" si="31"/>
        <v>4.5627572279950783</v>
      </c>
      <c r="H675" s="31">
        <f t="shared" si="32"/>
        <v>6.1593464137345455</v>
      </c>
    </row>
    <row r="676" spans="1:8" x14ac:dyDescent="0.3">
      <c r="A676" s="5">
        <v>5.6001465E-2</v>
      </c>
      <c r="B676" s="11">
        <v>0.21649527199999999</v>
      </c>
      <c r="C676" s="17">
        <v>2.3858247640000001</v>
      </c>
      <c r="D676">
        <v>2.4700000000000002</v>
      </c>
      <c r="F676" s="25">
        <f t="shared" si="30"/>
        <v>3.136164082146225E-3</v>
      </c>
      <c r="G676" s="29">
        <f t="shared" si="31"/>
        <v>4.687020279835398E-2</v>
      </c>
      <c r="H676" s="31">
        <f t="shared" si="32"/>
        <v>5.6921598045156561</v>
      </c>
    </row>
    <row r="677" spans="1:8" x14ac:dyDescent="0.3">
      <c r="A677" s="5">
        <v>4.7636341440000001</v>
      </c>
      <c r="B677" s="11">
        <v>4.1718877299999999</v>
      </c>
      <c r="C677" s="17">
        <v>2.5835943870000002</v>
      </c>
      <c r="D677">
        <v>2.4700000000000002</v>
      </c>
      <c r="F677" s="25">
        <f t="shared" si="30"/>
        <v>22.692210257882614</v>
      </c>
      <c r="G677" s="29">
        <f t="shared" si="31"/>
        <v>17.404647231724553</v>
      </c>
      <c r="H677" s="31">
        <f t="shared" si="32"/>
        <v>6.674959956537907</v>
      </c>
    </row>
    <row r="678" spans="1:8" x14ac:dyDescent="0.3">
      <c r="A678" s="5">
        <v>1.2903225810000001</v>
      </c>
      <c r="B678" s="11">
        <v>1.850676489</v>
      </c>
      <c r="C678" s="17">
        <v>2.4675338240000002</v>
      </c>
      <c r="D678">
        <v>2.4700000000000002</v>
      </c>
      <c r="F678" s="25">
        <f t="shared" si="30"/>
        <v>1.6649323630385018</v>
      </c>
      <c r="G678" s="29">
        <f t="shared" si="31"/>
        <v>3.4250034669373672</v>
      </c>
      <c r="H678" s="31">
        <f t="shared" si="32"/>
        <v>6.0887231725840643</v>
      </c>
    </row>
    <row r="679" spans="1:8" x14ac:dyDescent="0.3">
      <c r="A679" s="5">
        <v>4.7593615529999997</v>
      </c>
      <c r="B679" s="11">
        <v>4.1632839109999997</v>
      </c>
      <c r="C679" s="17">
        <v>2.5831641959999998</v>
      </c>
      <c r="D679">
        <v>2.4700000000000002</v>
      </c>
      <c r="F679" s="25">
        <f t="shared" si="30"/>
        <v>22.65152239217457</v>
      </c>
      <c r="G679" s="29">
        <f t="shared" si="31"/>
        <v>17.332932923591454</v>
      </c>
      <c r="H679" s="31">
        <f t="shared" si="32"/>
        <v>6.6727372634963258</v>
      </c>
    </row>
    <row r="680" spans="1:8" x14ac:dyDescent="0.3">
      <c r="A680" s="5">
        <v>2.7109591970000002</v>
      </c>
      <c r="B680" s="11">
        <v>2.6059572700000002</v>
      </c>
      <c r="C680" s="17">
        <v>2.505297863</v>
      </c>
      <c r="D680">
        <v>2.4700000000000002</v>
      </c>
      <c r="F680" s="25">
        <f t="shared" si="30"/>
        <v>7.3492997677988861</v>
      </c>
      <c r="G680" s="29">
        <f t="shared" si="31"/>
        <v>6.7910132930658538</v>
      </c>
      <c r="H680" s="31">
        <f t="shared" si="32"/>
        <v>6.2765173823523668</v>
      </c>
    </row>
    <row r="681" spans="1:8" x14ac:dyDescent="0.3">
      <c r="A681" s="5">
        <v>3.7589648119999999</v>
      </c>
      <c r="B681" s="11">
        <v>3.180142875</v>
      </c>
      <c r="C681" s="17">
        <v>2.5340071439999998</v>
      </c>
      <c r="D681">
        <v>2.4700000000000002</v>
      </c>
      <c r="F681" s="25">
        <f t="shared" si="30"/>
        <v>14.129816457854194</v>
      </c>
      <c r="G681" s="29">
        <f t="shared" si="31"/>
        <v>10.113308705413266</v>
      </c>
      <c r="H681" s="31">
        <f t="shared" si="32"/>
        <v>6.4211922058430355</v>
      </c>
    </row>
    <row r="682" spans="1:8" x14ac:dyDescent="0.3">
      <c r="A682" s="5">
        <v>3.4719382310000002</v>
      </c>
      <c r="B682" s="11">
        <v>3.0083256839999999</v>
      </c>
      <c r="C682" s="17">
        <v>2.5254162839999998</v>
      </c>
      <c r="D682">
        <v>2.4700000000000002</v>
      </c>
      <c r="F682" s="25">
        <f t="shared" si="30"/>
        <v>12.054355079879411</v>
      </c>
      <c r="G682" s="29">
        <f t="shared" si="31"/>
        <v>9.0500234210140675</v>
      </c>
      <c r="H682" s="31">
        <f t="shared" si="32"/>
        <v>6.377727407492368</v>
      </c>
    </row>
    <row r="683" spans="1:8" x14ac:dyDescent="0.3">
      <c r="A683" s="5">
        <v>0.56474501799999999</v>
      </c>
      <c r="B683" s="11">
        <v>1.289007805</v>
      </c>
      <c r="C683" s="17">
        <v>2.4394503900000002</v>
      </c>
      <c r="D683">
        <v>2.4700000000000002</v>
      </c>
      <c r="F683" s="25">
        <f t="shared" si="30"/>
        <v>0.31893693535582029</v>
      </c>
      <c r="G683" s="29">
        <f t="shared" si="31"/>
        <v>1.6615411213509181</v>
      </c>
      <c r="H683" s="31">
        <f t="shared" si="32"/>
        <v>5.9509182052711527</v>
      </c>
    </row>
    <row r="684" spans="1:8" x14ac:dyDescent="0.3">
      <c r="A684" s="5">
        <v>3.6834315009999998</v>
      </c>
      <c r="B684" s="11">
        <v>3.1331629269999999</v>
      </c>
      <c r="C684" s="17">
        <v>2.5316581459999998</v>
      </c>
      <c r="D684">
        <v>2.4700000000000002</v>
      </c>
      <c r="F684" s="25">
        <f t="shared" si="30"/>
        <v>13.567667622559112</v>
      </c>
      <c r="G684" s="29">
        <f t="shared" si="31"/>
        <v>9.8167099271272065</v>
      </c>
      <c r="H684" s="31">
        <f t="shared" si="32"/>
        <v>6.4092929682081561</v>
      </c>
    </row>
    <row r="685" spans="1:8" x14ac:dyDescent="0.3">
      <c r="A685" s="5">
        <v>4.3560594500000001</v>
      </c>
      <c r="B685" s="11">
        <v>3.632139005</v>
      </c>
      <c r="C685" s="17">
        <v>2.5566069499999999</v>
      </c>
      <c r="D685">
        <v>2.4700000000000002</v>
      </c>
      <c r="F685" s="25">
        <f t="shared" si="30"/>
        <v>18.975253931934304</v>
      </c>
      <c r="G685" s="29">
        <f t="shared" si="31"/>
        <v>13.19243375164239</v>
      </c>
      <c r="H685" s="31">
        <f t="shared" si="32"/>
        <v>6.5362390967883019</v>
      </c>
    </row>
    <row r="686" spans="1:8" x14ac:dyDescent="0.3">
      <c r="A686" s="5">
        <v>9.2318491000000003E-2</v>
      </c>
      <c r="B686" s="11">
        <v>0.413437255</v>
      </c>
      <c r="C686" s="17">
        <v>2.395671863</v>
      </c>
      <c r="D686">
        <v>2.4700000000000002</v>
      </c>
      <c r="F686" s="25">
        <f t="shared" si="30"/>
        <v>8.5227037805170811E-3</v>
      </c>
      <c r="G686" s="29">
        <f t="shared" si="31"/>
        <v>0.17093036382193502</v>
      </c>
      <c r="H686" s="31">
        <f t="shared" si="32"/>
        <v>5.7392436751698908</v>
      </c>
    </row>
    <row r="687" spans="1:8" x14ac:dyDescent="0.3">
      <c r="A687" s="5">
        <v>3.6033204140000001</v>
      </c>
      <c r="B687" s="11">
        <v>3.0848153250000001</v>
      </c>
      <c r="C687" s="17">
        <v>2.529240766</v>
      </c>
      <c r="D687">
        <v>2.4700000000000002</v>
      </c>
      <c r="F687" s="25">
        <f t="shared" si="30"/>
        <v>12.983918005949132</v>
      </c>
      <c r="G687" s="29">
        <f t="shared" si="31"/>
        <v>9.5160855893548568</v>
      </c>
      <c r="H687" s="31">
        <f t="shared" si="32"/>
        <v>6.3970588523962668</v>
      </c>
    </row>
    <row r="688" spans="1:8" x14ac:dyDescent="0.3">
      <c r="A688" s="5">
        <v>1.4647358619999999</v>
      </c>
      <c r="B688" s="11">
        <v>1.9552047159999999</v>
      </c>
      <c r="C688" s="17">
        <v>2.4727602360000001</v>
      </c>
      <c r="D688">
        <v>2.4700000000000002</v>
      </c>
      <c r="F688" s="25">
        <f t="shared" si="30"/>
        <v>2.1454511454288827</v>
      </c>
      <c r="G688" s="29">
        <f t="shared" si="31"/>
        <v>3.8228254814686404</v>
      </c>
      <c r="H688" s="31">
        <f t="shared" si="32"/>
        <v>6.114543184742776</v>
      </c>
    </row>
    <row r="689" spans="1:8" x14ac:dyDescent="0.3">
      <c r="A689" s="5">
        <v>3.5341959900000002</v>
      </c>
      <c r="B689" s="11">
        <v>3.0441734170000001</v>
      </c>
      <c r="C689" s="17">
        <v>2.5272086709999999</v>
      </c>
      <c r="D689">
        <v>2.4700000000000002</v>
      </c>
      <c r="F689" s="25">
        <f t="shared" si="30"/>
        <v>12.490541295732081</v>
      </c>
      <c r="G689" s="29">
        <f t="shared" si="31"/>
        <v>9.2669917927694563</v>
      </c>
      <c r="H689" s="31">
        <f t="shared" si="32"/>
        <v>6.3867836667775855</v>
      </c>
    </row>
    <row r="690" spans="1:8" x14ac:dyDescent="0.3">
      <c r="A690" s="5">
        <v>0.35264137699999998</v>
      </c>
      <c r="B690" s="11">
        <v>1.0281328919999999</v>
      </c>
      <c r="C690" s="17">
        <v>2.4264066450000001</v>
      </c>
      <c r="D690">
        <v>2.4700000000000002</v>
      </c>
      <c r="F690" s="25">
        <f t="shared" si="30"/>
        <v>0.12435594077245611</v>
      </c>
      <c r="G690" s="29">
        <f t="shared" si="31"/>
        <v>1.0570572436122834</v>
      </c>
      <c r="H690" s="31">
        <f t="shared" si="32"/>
        <v>5.8874492069001567</v>
      </c>
    </row>
    <row r="691" spans="1:8" x14ac:dyDescent="0.3">
      <c r="A691" s="5">
        <v>3.3538315989999998</v>
      </c>
      <c r="B691" s="11">
        <v>2.9420303410000002</v>
      </c>
      <c r="C691" s="17">
        <v>2.5221015169999998</v>
      </c>
      <c r="D691">
        <v>2.4700000000000002</v>
      </c>
      <c r="F691" s="25">
        <f t="shared" si="30"/>
        <v>11.248186394450896</v>
      </c>
      <c r="G691" s="29">
        <f t="shared" si="31"/>
        <v>8.6555425273645774</v>
      </c>
      <c r="H691" s="31">
        <f t="shared" si="32"/>
        <v>6.3609960620537009</v>
      </c>
    </row>
    <row r="692" spans="1:8" x14ac:dyDescent="0.3">
      <c r="A692" s="5">
        <v>3.8709677419999999</v>
      </c>
      <c r="B692" s="11">
        <v>3.2527285109999999</v>
      </c>
      <c r="C692" s="17">
        <v>2.5376364260000002</v>
      </c>
      <c r="D692">
        <v>2.4700000000000002</v>
      </c>
      <c r="F692" s="25">
        <f t="shared" si="30"/>
        <v>14.984391259604578</v>
      </c>
      <c r="G692" s="29">
        <f t="shared" si="31"/>
        <v>10.580242766272276</v>
      </c>
      <c r="H692" s="31">
        <f t="shared" si="32"/>
        <v>6.4395986305620543</v>
      </c>
    </row>
    <row r="693" spans="1:8" x14ac:dyDescent="0.3">
      <c r="A693" s="5">
        <v>1.5884884180000001</v>
      </c>
      <c r="B693" s="11">
        <v>2.025853127</v>
      </c>
      <c r="C693" s="17">
        <v>2.476292656</v>
      </c>
      <c r="D693">
        <v>2.4700000000000002</v>
      </c>
      <c r="F693" s="25">
        <f t="shared" si="30"/>
        <v>2.5232954541201429</v>
      </c>
      <c r="G693" s="29">
        <f t="shared" si="31"/>
        <v>4.104080892175678</v>
      </c>
      <c r="H693" s="31">
        <f t="shared" si="32"/>
        <v>6.1320253181595348</v>
      </c>
    </row>
    <row r="694" spans="1:8" x14ac:dyDescent="0.3">
      <c r="A694" s="5">
        <v>4.6394238110000003</v>
      </c>
      <c r="B694" s="11">
        <v>3.9602164809999998</v>
      </c>
      <c r="C694" s="17">
        <v>2.5730108239999998</v>
      </c>
      <c r="D694">
        <v>2.4700000000000002</v>
      </c>
      <c r="F694" s="25">
        <f t="shared" si="30"/>
        <v>21.524253298073766</v>
      </c>
      <c r="G694" s="29">
        <f t="shared" si="31"/>
        <v>15.683314576384022</v>
      </c>
      <c r="H694" s="31">
        <f t="shared" si="32"/>
        <v>6.620384700421158</v>
      </c>
    </row>
    <row r="695" spans="1:8" x14ac:dyDescent="0.3">
      <c r="A695" s="5">
        <v>2.3412274540000002</v>
      </c>
      <c r="B695" s="11">
        <v>2.4203191689999999</v>
      </c>
      <c r="C695" s="17">
        <v>2.4960159580000001</v>
      </c>
      <c r="D695">
        <v>2.4700000000000002</v>
      </c>
      <c r="F695" s="25">
        <f t="shared" si="30"/>
        <v>5.4813459913633231</v>
      </c>
      <c r="G695" s="29">
        <f t="shared" si="31"/>
        <v>5.8579448798288496</v>
      </c>
      <c r="H695" s="31">
        <f t="shared" si="32"/>
        <v>6.2300956625906583</v>
      </c>
    </row>
    <row r="696" spans="1:8" x14ac:dyDescent="0.3">
      <c r="A696" s="5">
        <v>4.7734000669999999</v>
      </c>
      <c r="B696" s="11">
        <v>4.1920330379999999</v>
      </c>
      <c r="C696" s="17">
        <v>2.5846016519999999</v>
      </c>
      <c r="D696">
        <v>2.4700000000000002</v>
      </c>
      <c r="F696" s="25">
        <f t="shared" si="30"/>
        <v>22.785348199635603</v>
      </c>
      <c r="G696" s="29">
        <f t="shared" si="31"/>
        <v>17.573140991683509</v>
      </c>
      <c r="H696" s="31">
        <f t="shared" si="32"/>
        <v>6.6801656995211287</v>
      </c>
    </row>
    <row r="697" spans="1:8" x14ac:dyDescent="0.3">
      <c r="A697" s="5">
        <v>6.0579240999999999E-2</v>
      </c>
      <c r="B697" s="11">
        <v>0.246563167</v>
      </c>
      <c r="C697" s="17">
        <v>2.3873281579999999</v>
      </c>
      <c r="D697">
        <v>2.4700000000000002</v>
      </c>
      <c r="F697" s="25">
        <f t="shared" si="30"/>
        <v>3.669844440136081E-3</v>
      </c>
      <c r="G697" s="29">
        <f t="shared" si="31"/>
        <v>6.0793395321069886E-2</v>
      </c>
      <c r="H697" s="31">
        <f t="shared" si="32"/>
        <v>5.6993357339796722</v>
      </c>
    </row>
    <row r="698" spans="1:8" x14ac:dyDescent="0.3">
      <c r="A698" s="5">
        <v>1.357768487</v>
      </c>
      <c r="B698" s="11">
        <v>1.8918800099999999</v>
      </c>
      <c r="C698" s="17">
        <v>2.4695940009999999</v>
      </c>
      <c r="D698">
        <v>2.4700000000000002</v>
      </c>
      <c r="F698" s="25">
        <f t="shared" si="30"/>
        <v>1.8435352642902691</v>
      </c>
      <c r="G698" s="29">
        <f t="shared" si="31"/>
        <v>3.5792099722375998</v>
      </c>
      <c r="H698" s="31">
        <f t="shared" si="32"/>
        <v>6.0988945297751878</v>
      </c>
    </row>
    <row r="699" spans="1:8" x14ac:dyDescent="0.3">
      <c r="A699" s="5">
        <v>3.7604907380000001</v>
      </c>
      <c r="B699" s="11">
        <v>3.1811069399999998</v>
      </c>
      <c r="C699" s="17">
        <v>2.5340553469999998</v>
      </c>
      <c r="D699">
        <v>2.4700000000000002</v>
      </c>
      <c r="F699" s="25">
        <f t="shared" si="30"/>
        <v>14.141290590583786</v>
      </c>
      <c r="G699" s="29">
        <f t="shared" si="31"/>
        <v>10.119441363716163</v>
      </c>
      <c r="H699" s="31">
        <f t="shared" si="32"/>
        <v>6.4214365016592891</v>
      </c>
    </row>
    <row r="700" spans="1:8" x14ac:dyDescent="0.3">
      <c r="A700" s="5">
        <v>1.8570513019999999</v>
      </c>
      <c r="B700" s="11">
        <v>2.1718793230000002</v>
      </c>
      <c r="C700" s="17">
        <v>2.4835939659999999</v>
      </c>
      <c r="D700">
        <v>2.4700000000000002</v>
      </c>
      <c r="F700" s="25">
        <f t="shared" si="30"/>
        <v>3.4486395382598949</v>
      </c>
      <c r="G700" s="29">
        <f t="shared" si="31"/>
        <v>4.717059793674939</v>
      </c>
      <c r="H700" s="31">
        <f t="shared" si="32"/>
        <v>6.1682389879516091</v>
      </c>
    </row>
    <row r="701" spans="1:8" x14ac:dyDescent="0.3">
      <c r="A701" s="5">
        <v>1.5923032319999999</v>
      </c>
      <c r="B701" s="11">
        <v>2.0279927130000002</v>
      </c>
      <c r="C701" s="17">
        <v>2.476399636</v>
      </c>
      <c r="D701">
        <v>2.4700000000000002</v>
      </c>
      <c r="F701" s="25">
        <f t="shared" si="30"/>
        <v>2.5354295826376454</v>
      </c>
      <c r="G701" s="29">
        <f t="shared" si="31"/>
        <v>4.1127544439811015</v>
      </c>
      <c r="H701" s="31">
        <f t="shared" si="32"/>
        <v>6.1325551571809322</v>
      </c>
    </row>
    <row r="702" spans="1:8" x14ac:dyDescent="0.3">
      <c r="A702" s="5">
        <v>2.9950865200000001</v>
      </c>
      <c r="B702" s="11">
        <v>2.7508045330000002</v>
      </c>
      <c r="C702" s="17">
        <v>2.5125402270000001</v>
      </c>
      <c r="D702">
        <v>2.4700000000000002</v>
      </c>
      <c r="F702" s="25">
        <f t="shared" si="30"/>
        <v>8.9705432622857106</v>
      </c>
      <c r="G702" s="29">
        <f t="shared" si="31"/>
        <v>7.5669255787733487</v>
      </c>
      <c r="H702" s="31">
        <f t="shared" si="32"/>
        <v>6.3128583922932124</v>
      </c>
    </row>
    <row r="703" spans="1:8" x14ac:dyDescent="0.3">
      <c r="A703" s="5">
        <v>1.4120914330000001</v>
      </c>
      <c r="B703" s="11">
        <v>1.924328507</v>
      </c>
      <c r="C703" s="17">
        <v>2.4712164250000002</v>
      </c>
      <c r="D703">
        <v>2.4700000000000002</v>
      </c>
      <c r="F703" s="25">
        <f t="shared" si="30"/>
        <v>1.9940022151519936</v>
      </c>
      <c r="G703" s="29">
        <f t="shared" si="31"/>
        <v>3.7030402028528493</v>
      </c>
      <c r="H703" s="31">
        <f t="shared" si="32"/>
        <v>6.1069106191897813</v>
      </c>
    </row>
    <row r="704" spans="1:8" x14ac:dyDescent="0.3">
      <c r="A704" s="5">
        <v>2.4330881679999998</v>
      </c>
      <c r="B704" s="11">
        <v>2.4664487400000001</v>
      </c>
      <c r="C704" s="17">
        <v>2.4983224370000001</v>
      </c>
      <c r="D704">
        <v>2.4700000000000002</v>
      </c>
      <c r="F704" s="25">
        <f t="shared" si="30"/>
        <v>5.9199180332615953</v>
      </c>
      <c r="G704" s="29">
        <f t="shared" si="31"/>
        <v>6.083369387047588</v>
      </c>
      <c r="H704" s="31">
        <f t="shared" si="32"/>
        <v>6.24161499921762</v>
      </c>
    </row>
    <row r="705" spans="1:8" x14ac:dyDescent="0.3">
      <c r="A705" s="5">
        <v>0.60975981899999998</v>
      </c>
      <c r="B705" s="11">
        <v>1.3347144609999999</v>
      </c>
      <c r="C705" s="17">
        <v>2.4417357229999999</v>
      </c>
      <c r="D705">
        <v>2.4700000000000002</v>
      </c>
      <c r="F705" s="25">
        <f t="shared" si="30"/>
        <v>0.37180703686691274</v>
      </c>
      <c r="G705" s="29">
        <f t="shared" si="31"/>
        <v>1.7814626924025203</v>
      </c>
      <c r="H705" s="31">
        <f t="shared" si="32"/>
        <v>5.9620733409743316</v>
      </c>
    </row>
    <row r="706" spans="1:8" x14ac:dyDescent="0.3">
      <c r="A706" s="5">
        <v>4.6925260169999996</v>
      </c>
      <c r="B706" s="11">
        <v>4.0423438530000002</v>
      </c>
      <c r="C706" s="17">
        <v>2.5771171929999999</v>
      </c>
      <c r="D706">
        <v>2.4700000000000002</v>
      </c>
      <c r="F706" s="25">
        <f t="shared" si="30"/>
        <v>22.01980042022188</v>
      </c>
      <c r="G706" s="29">
        <f t="shared" si="31"/>
        <v>16.340543825886886</v>
      </c>
      <c r="H706" s="31">
        <f t="shared" si="32"/>
        <v>6.6415330264561989</v>
      </c>
    </row>
    <row r="707" spans="1:8" x14ac:dyDescent="0.3">
      <c r="A707" s="5">
        <v>2.1109653000000002</v>
      </c>
      <c r="B707" s="11">
        <v>2.3037139899999999</v>
      </c>
      <c r="C707" s="17">
        <v>2.4901857000000001</v>
      </c>
      <c r="D707">
        <v>2.4700000000000002</v>
      </c>
      <c r="F707" s="25">
        <f t="shared" ref="F707:F770" si="33">POWER(A707,2)</f>
        <v>4.4561744978040903</v>
      </c>
      <c r="G707" s="29">
        <f t="shared" ref="G707:G770" si="34">POWER(B707,2)</f>
        <v>5.3070981477217192</v>
      </c>
      <c r="H707" s="31">
        <f t="shared" ref="H707:H770" si="35">POWER(C707,2)</f>
        <v>6.2010248204844904</v>
      </c>
    </row>
    <row r="708" spans="1:8" x14ac:dyDescent="0.3">
      <c r="A708" s="5">
        <v>1.8404187139999999</v>
      </c>
      <c r="B708" s="11">
        <v>2.1630663189999999</v>
      </c>
      <c r="C708" s="17">
        <v>2.4831533160000001</v>
      </c>
      <c r="D708">
        <v>2.4700000000000002</v>
      </c>
      <c r="F708" s="25">
        <f t="shared" si="33"/>
        <v>3.3871410428414133</v>
      </c>
      <c r="G708" s="29">
        <f t="shared" si="34"/>
        <v>4.6788559003922092</v>
      </c>
      <c r="H708" s="31">
        <f t="shared" si="35"/>
        <v>6.1660503907617965</v>
      </c>
    </row>
    <row r="709" spans="1:8" x14ac:dyDescent="0.3">
      <c r="A709" s="5">
        <v>1.244697409</v>
      </c>
      <c r="B709" s="11">
        <v>1.8221695149999999</v>
      </c>
      <c r="C709" s="17">
        <v>2.466108476</v>
      </c>
      <c r="D709">
        <v>2.4700000000000002</v>
      </c>
      <c r="F709" s="25">
        <f t="shared" si="33"/>
        <v>1.5492716399713133</v>
      </c>
      <c r="G709" s="29">
        <f t="shared" si="34"/>
        <v>3.3203017413953351</v>
      </c>
      <c r="H709" s="31">
        <f t="shared" si="35"/>
        <v>6.0816910153990431</v>
      </c>
    </row>
    <row r="710" spans="1:8" x14ac:dyDescent="0.3">
      <c r="A710" s="5">
        <v>1.1087374489999999</v>
      </c>
      <c r="B710" s="11">
        <v>1.7336961440000001</v>
      </c>
      <c r="C710" s="17">
        <v>2.4616848070000001</v>
      </c>
      <c r="D710">
        <v>2.4700000000000002</v>
      </c>
      <c r="F710" s="25">
        <f t="shared" si="33"/>
        <v>1.2292987308150274</v>
      </c>
      <c r="G710" s="29">
        <f t="shared" si="34"/>
        <v>3.0057023197204691</v>
      </c>
      <c r="H710" s="31">
        <f t="shared" si="35"/>
        <v>6.0598920890146282</v>
      </c>
    </row>
    <row r="711" spans="1:8" x14ac:dyDescent="0.3">
      <c r="A711" s="5">
        <v>3.2209234900000001</v>
      </c>
      <c r="B711" s="11">
        <v>2.8696663949999999</v>
      </c>
      <c r="C711" s="17">
        <v>2.5184833200000001</v>
      </c>
      <c r="D711">
        <v>2.4700000000000002</v>
      </c>
      <c r="F711" s="25">
        <f t="shared" si="33"/>
        <v>10.37434812843378</v>
      </c>
      <c r="G711" s="29">
        <f t="shared" si="34"/>
        <v>8.2349852185922945</v>
      </c>
      <c r="H711" s="31">
        <f t="shared" si="35"/>
        <v>6.3427582331182224</v>
      </c>
    </row>
    <row r="712" spans="1:8" x14ac:dyDescent="0.3">
      <c r="A712" s="5">
        <v>1.4670247510000001</v>
      </c>
      <c r="B712" s="11">
        <v>1.9565359879999999</v>
      </c>
      <c r="C712" s="17">
        <v>2.4728267989999999</v>
      </c>
      <c r="D712">
        <v>2.4700000000000002</v>
      </c>
      <c r="F712" s="25">
        <f t="shared" si="33"/>
        <v>2.1521616200466123</v>
      </c>
      <c r="G712" s="29">
        <f t="shared" si="34"/>
        <v>3.828033072339136</v>
      </c>
      <c r="H712" s="31">
        <f t="shared" si="35"/>
        <v>6.1148723778525857</v>
      </c>
    </row>
    <row r="713" spans="1:8" x14ac:dyDescent="0.3">
      <c r="A713" s="5">
        <v>1.3966795860000001</v>
      </c>
      <c r="B713" s="11">
        <v>1.9151846749999999</v>
      </c>
      <c r="C713" s="17">
        <v>2.470759234</v>
      </c>
      <c r="D713">
        <v>2.4700000000000002</v>
      </c>
      <c r="F713" s="25">
        <f t="shared" si="33"/>
        <v>1.9507138659491317</v>
      </c>
      <c r="G713" s="29">
        <f t="shared" si="34"/>
        <v>3.6679323393548553</v>
      </c>
      <c r="H713" s="31">
        <f t="shared" si="35"/>
        <v>6.1046511923962665</v>
      </c>
    </row>
    <row r="714" spans="1:8" x14ac:dyDescent="0.3">
      <c r="A714" s="5">
        <v>4.8564104129999999</v>
      </c>
      <c r="B714" s="11">
        <v>4.3999799069999996</v>
      </c>
      <c r="C714" s="17">
        <v>2.5949989950000001</v>
      </c>
      <c r="D714">
        <v>2.4700000000000002</v>
      </c>
      <c r="F714" s="25">
        <f t="shared" si="33"/>
        <v>23.584722099494829</v>
      </c>
      <c r="G714" s="29">
        <f t="shared" si="34"/>
        <v>19.359823182003726</v>
      </c>
      <c r="H714" s="31">
        <f t="shared" si="35"/>
        <v>6.7340197840510108</v>
      </c>
    </row>
    <row r="715" spans="1:8" x14ac:dyDescent="0.3">
      <c r="A715" s="5">
        <v>0.47227393400000001</v>
      </c>
      <c r="B715" s="11">
        <v>1.1861894289999999</v>
      </c>
      <c r="C715" s="17">
        <v>2.4343094710000002</v>
      </c>
      <c r="D715">
        <v>2.4700000000000002</v>
      </c>
      <c r="F715" s="25">
        <f t="shared" si="33"/>
        <v>0.22304266873583636</v>
      </c>
      <c r="G715" s="29">
        <f t="shared" si="34"/>
        <v>1.4070453614713458</v>
      </c>
      <c r="H715" s="31">
        <f t="shared" si="35"/>
        <v>5.9258626006003006</v>
      </c>
    </row>
    <row r="716" spans="1:8" x14ac:dyDescent="0.3">
      <c r="A716" s="5">
        <v>0.92043824600000002</v>
      </c>
      <c r="B716" s="11">
        <v>1.6001027409999999</v>
      </c>
      <c r="C716" s="17">
        <v>2.4550051370000001</v>
      </c>
      <c r="D716">
        <v>2.4700000000000002</v>
      </c>
      <c r="F716" s="25">
        <f t="shared" si="33"/>
        <v>0.84720656469955657</v>
      </c>
      <c r="G716" s="29">
        <f t="shared" si="34"/>
        <v>2.5603287817557128</v>
      </c>
      <c r="H716" s="31">
        <f t="shared" si="35"/>
        <v>6.0270502226963893</v>
      </c>
    </row>
    <row r="717" spans="1:8" x14ac:dyDescent="0.3">
      <c r="A717" s="5">
        <v>4.3453779719999996</v>
      </c>
      <c r="B717" s="11">
        <v>3.6220322450000002</v>
      </c>
      <c r="C717" s="17">
        <v>2.556101612</v>
      </c>
      <c r="D717">
        <v>2.4700000000000002</v>
      </c>
      <c r="F717" s="25">
        <f t="shared" si="33"/>
        <v>18.882309719542828</v>
      </c>
      <c r="G717" s="29">
        <f t="shared" si="34"/>
        <v>13.119117583819742</v>
      </c>
      <c r="H717" s="31">
        <f t="shared" si="35"/>
        <v>6.5336554508689986</v>
      </c>
    </row>
    <row r="718" spans="1:8" x14ac:dyDescent="0.3">
      <c r="A718" s="5">
        <v>2.289345988</v>
      </c>
      <c r="B718" s="11">
        <v>2.3941962079999999</v>
      </c>
      <c r="C718" s="17">
        <v>2.4947098099999998</v>
      </c>
      <c r="D718">
        <v>2.4700000000000002</v>
      </c>
      <c r="F718" s="25">
        <f t="shared" si="33"/>
        <v>5.2411050527716965</v>
      </c>
      <c r="G718" s="29">
        <f t="shared" si="34"/>
        <v>5.7321754824015789</v>
      </c>
      <c r="H718" s="31">
        <f t="shared" si="35"/>
        <v>6.2235770361102354</v>
      </c>
    </row>
    <row r="719" spans="1:8" x14ac:dyDescent="0.3">
      <c r="A719" s="5">
        <v>3.7203588980000002</v>
      </c>
      <c r="B719" s="11">
        <v>3.1559503160000002</v>
      </c>
      <c r="C719" s="17">
        <v>2.532797516</v>
      </c>
      <c r="D719">
        <v>2.4700000000000002</v>
      </c>
      <c r="F719" s="25">
        <f t="shared" si="33"/>
        <v>13.841070329927776</v>
      </c>
      <c r="G719" s="29">
        <f t="shared" si="34"/>
        <v>9.9600223970605004</v>
      </c>
      <c r="H719" s="31">
        <f t="shared" si="35"/>
        <v>6.4150632570557704</v>
      </c>
    </row>
    <row r="720" spans="1:8" x14ac:dyDescent="0.3">
      <c r="A720" s="5">
        <v>1.3800469989999999</v>
      </c>
      <c r="B720" s="11">
        <v>1.9052632249999999</v>
      </c>
      <c r="C720" s="17">
        <v>2.4702631610000001</v>
      </c>
      <c r="D720">
        <v>2.4700000000000002</v>
      </c>
      <c r="F720" s="25">
        <f t="shared" si="33"/>
        <v>1.9045297194489059</v>
      </c>
      <c r="G720" s="29">
        <f t="shared" si="34"/>
        <v>3.6300279565374001</v>
      </c>
      <c r="H720" s="31">
        <f t="shared" si="35"/>
        <v>6.1022000845937123</v>
      </c>
    </row>
    <row r="721" spans="1:8" x14ac:dyDescent="0.3">
      <c r="A721" s="5">
        <v>1.817682424</v>
      </c>
      <c r="B721" s="11">
        <v>2.1509779980000001</v>
      </c>
      <c r="C721" s="17">
        <v>2.4825488999999998</v>
      </c>
      <c r="D721">
        <v>2.4700000000000002</v>
      </c>
      <c r="F721" s="25">
        <f t="shared" si="33"/>
        <v>3.303969394518516</v>
      </c>
      <c r="G721" s="29">
        <f t="shared" si="34"/>
        <v>4.6267063478800887</v>
      </c>
      <c r="H721" s="31">
        <f t="shared" si="35"/>
        <v>6.1630490408912095</v>
      </c>
    </row>
    <row r="722" spans="1:8" x14ac:dyDescent="0.3">
      <c r="A722" s="5">
        <v>4.9290444649999996</v>
      </c>
      <c r="B722" s="11">
        <v>4.6919549910000002</v>
      </c>
      <c r="C722" s="17">
        <v>2.6095977499999998</v>
      </c>
      <c r="D722">
        <v>2.4700000000000002</v>
      </c>
      <c r="F722" s="25">
        <f t="shared" si="33"/>
        <v>24.295479337947132</v>
      </c>
      <c r="G722" s="29">
        <f t="shared" si="34"/>
        <v>22.014441637569814</v>
      </c>
      <c r="H722" s="31">
        <f t="shared" si="35"/>
        <v>6.8100004168050612</v>
      </c>
    </row>
    <row r="723" spans="1:8" x14ac:dyDescent="0.3">
      <c r="A723" s="5">
        <v>0.79729605999999997</v>
      </c>
      <c r="B723" s="11">
        <v>1.503316589</v>
      </c>
      <c r="C723" s="17">
        <v>2.4501658289999999</v>
      </c>
      <c r="D723">
        <v>2.4700000000000002</v>
      </c>
      <c r="F723" s="25">
        <f t="shared" si="33"/>
        <v>0.63568100729152355</v>
      </c>
      <c r="G723" s="29">
        <f t="shared" si="34"/>
        <v>2.2599607667625947</v>
      </c>
      <c r="H723" s="31">
        <f t="shared" si="35"/>
        <v>6.0033125895992567</v>
      </c>
    </row>
    <row r="724" spans="1:8" x14ac:dyDescent="0.3">
      <c r="A724" s="5">
        <v>4.6638386179999998</v>
      </c>
      <c r="B724" s="11">
        <v>3.9967281460000001</v>
      </c>
      <c r="C724" s="17">
        <v>2.5748364069999998</v>
      </c>
      <c r="D724">
        <v>2.4700000000000002</v>
      </c>
      <c r="F724" s="25">
        <f t="shared" si="33"/>
        <v>21.751390654748146</v>
      </c>
      <c r="G724" s="29">
        <f t="shared" si="34"/>
        <v>15.973835873028598</v>
      </c>
      <c r="H724" s="31">
        <f t="shared" si="35"/>
        <v>6.6297825228126683</v>
      </c>
    </row>
    <row r="725" spans="1:8" x14ac:dyDescent="0.3">
      <c r="A725" s="5">
        <v>4.9163792839999996</v>
      </c>
      <c r="B725" s="11">
        <v>4.6266532710000003</v>
      </c>
      <c r="C725" s="17">
        <v>2.606332664</v>
      </c>
      <c r="D725">
        <v>2.4700000000000002</v>
      </c>
      <c r="F725" s="25">
        <f t="shared" si="33"/>
        <v>24.170785264144349</v>
      </c>
      <c r="G725" s="29">
        <f t="shared" si="34"/>
        <v>21.405920490055003</v>
      </c>
      <c r="H725" s="31">
        <f t="shared" si="35"/>
        <v>6.7929699554333371</v>
      </c>
    </row>
    <row r="726" spans="1:8" x14ac:dyDescent="0.3">
      <c r="A726" s="5">
        <v>2.3021637620000002</v>
      </c>
      <c r="B726" s="11">
        <v>2.4006558939999998</v>
      </c>
      <c r="C726" s="17">
        <v>2.4950327950000002</v>
      </c>
      <c r="D726">
        <v>2.4700000000000002</v>
      </c>
      <c r="F726" s="25">
        <f t="shared" si="33"/>
        <v>5.2999579870659934</v>
      </c>
      <c r="G726" s="29">
        <f t="shared" si="34"/>
        <v>5.7631487213969379</v>
      </c>
      <c r="H726" s="31">
        <f t="shared" si="35"/>
        <v>6.2251886481255134</v>
      </c>
    </row>
    <row r="727" spans="1:8" x14ac:dyDescent="0.3">
      <c r="A727" s="5">
        <v>2.1184423350000001</v>
      </c>
      <c r="B727" s="11">
        <v>2.3075338680000002</v>
      </c>
      <c r="C727" s="17">
        <v>2.490376693</v>
      </c>
      <c r="D727">
        <v>2.4700000000000002</v>
      </c>
      <c r="F727" s="25">
        <f t="shared" si="33"/>
        <v>4.487797926720253</v>
      </c>
      <c r="G727" s="29">
        <f t="shared" si="34"/>
        <v>5.3247125519670417</v>
      </c>
      <c r="H727" s="31">
        <f t="shared" si="35"/>
        <v>6.2019760730376161</v>
      </c>
    </row>
    <row r="728" spans="1:8" x14ac:dyDescent="0.3">
      <c r="A728" s="5">
        <v>3.6469619000000002E-2</v>
      </c>
      <c r="B728" s="11">
        <v>5.7533788000000002E-2</v>
      </c>
      <c r="C728" s="17">
        <v>2.3778766889999998</v>
      </c>
      <c r="D728">
        <v>2.4700000000000002</v>
      </c>
      <c r="F728" s="25">
        <f t="shared" si="33"/>
        <v>1.3300331100051612E-3</v>
      </c>
      <c r="G728" s="29">
        <f t="shared" si="34"/>
        <v>3.3101367616289444E-3</v>
      </c>
      <c r="H728" s="31">
        <f t="shared" si="35"/>
        <v>5.6542975480896018</v>
      </c>
    </row>
    <row r="729" spans="1:8" x14ac:dyDescent="0.3">
      <c r="A729" s="5">
        <v>1.8149357589999999</v>
      </c>
      <c r="B729" s="11">
        <v>2.1495148479999999</v>
      </c>
      <c r="C729" s="17">
        <v>2.4824757420000001</v>
      </c>
      <c r="D729">
        <v>2.4700000000000002</v>
      </c>
      <c r="F729" s="25">
        <f t="shared" si="33"/>
        <v>3.2939918092969056</v>
      </c>
      <c r="G729" s="29">
        <f t="shared" si="34"/>
        <v>4.6204140817724628</v>
      </c>
      <c r="H729" s="31">
        <f t="shared" si="35"/>
        <v>6.1626858096184511</v>
      </c>
    </row>
    <row r="730" spans="1:8" x14ac:dyDescent="0.3">
      <c r="A730" s="5">
        <v>4.4796594130000003</v>
      </c>
      <c r="B730" s="11">
        <v>3.7587088350000002</v>
      </c>
      <c r="C730" s="17">
        <v>2.5629354420000001</v>
      </c>
      <c r="D730">
        <v>2.4700000000000002</v>
      </c>
      <c r="F730" s="25">
        <f t="shared" si="33"/>
        <v>20.067348456479507</v>
      </c>
      <c r="G730" s="29">
        <f t="shared" si="34"/>
        <v>14.127892106307058</v>
      </c>
      <c r="H730" s="31">
        <f t="shared" si="35"/>
        <v>6.5686380798597357</v>
      </c>
    </row>
    <row r="731" spans="1:8" x14ac:dyDescent="0.3">
      <c r="A731" s="5">
        <v>1.194647053</v>
      </c>
      <c r="B731" s="11">
        <v>1.790249661</v>
      </c>
      <c r="C731" s="17">
        <v>2.464512483</v>
      </c>
      <c r="D731">
        <v>2.4700000000000002</v>
      </c>
      <c r="F731" s="25">
        <f t="shared" si="33"/>
        <v>1.4271815812415847</v>
      </c>
      <c r="G731" s="29">
        <f t="shared" si="34"/>
        <v>3.2049938487106151</v>
      </c>
      <c r="H731" s="31">
        <f t="shared" si="35"/>
        <v>6.0738217788628255</v>
      </c>
    </row>
    <row r="732" spans="1:8" x14ac:dyDescent="0.3">
      <c r="A732" s="5">
        <v>3.296151616</v>
      </c>
      <c r="B732" s="11">
        <v>2.9103640089999998</v>
      </c>
      <c r="C732" s="17">
        <v>2.5205182000000002</v>
      </c>
      <c r="D732">
        <v>2.4700000000000002</v>
      </c>
      <c r="F732" s="25">
        <f t="shared" si="33"/>
        <v>10.864615475659411</v>
      </c>
      <c r="G732" s="29">
        <f t="shared" si="34"/>
        <v>8.4702186648825517</v>
      </c>
      <c r="H732" s="31">
        <f t="shared" si="35"/>
        <v>6.353011996531241</v>
      </c>
    </row>
    <row r="733" spans="1:8" x14ac:dyDescent="0.3">
      <c r="A733" s="5">
        <v>3.6284981840000001</v>
      </c>
      <c r="B733" s="11">
        <v>3.0998572310000001</v>
      </c>
      <c r="C733" s="17">
        <v>2.5299928619999998</v>
      </c>
      <c r="D733">
        <v>2.4700000000000002</v>
      </c>
      <c r="F733" s="25">
        <f t="shared" si="33"/>
        <v>13.165999071291299</v>
      </c>
      <c r="G733" s="29">
        <f t="shared" si="34"/>
        <v>9.6091148525829873</v>
      </c>
      <c r="H733" s="31">
        <f t="shared" si="35"/>
        <v>6.4008638817709507</v>
      </c>
    </row>
    <row r="734" spans="1:8" x14ac:dyDescent="0.3">
      <c r="A734" s="5">
        <v>9.1555527999999997E-2</v>
      </c>
      <c r="B734" s="11">
        <v>0.41005393499999998</v>
      </c>
      <c r="C734" s="17">
        <v>2.395502697</v>
      </c>
      <c r="D734">
        <v>2.4700000000000002</v>
      </c>
      <c r="F734" s="25">
        <f t="shared" si="33"/>
        <v>8.3824147073587839E-3</v>
      </c>
      <c r="G734" s="29">
        <f t="shared" si="34"/>
        <v>0.1681442296089842</v>
      </c>
      <c r="H734" s="31">
        <f t="shared" si="35"/>
        <v>5.7384331713342736</v>
      </c>
    </row>
    <row r="735" spans="1:8" x14ac:dyDescent="0.3">
      <c r="A735" s="5">
        <v>3.7104403819999998</v>
      </c>
      <c r="B735" s="11">
        <v>3.1497953110000001</v>
      </c>
      <c r="C735" s="17">
        <v>2.5324897659999999</v>
      </c>
      <c r="D735">
        <v>2.4700000000000002</v>
      </c>
      <c r="F735" s="25">
        <f t="shared" si="33"/>
        <v>13.767367828376305</v>
      </c>
      <c r="G735" s="29">
        <f t="shared" si="34"/>
        <v>9.9212105011975869</v>
      </c>
      <c r="H735" s="31">
        <f t="shared" si="35"/>
        <v>6.4135044148947342</v>
      </c>
    </row>
    <row r="736" spans="1:8" x14ac:dyDescent="0.3">
      <c r="A736" s="5">
        <v>0.16464735899999999</v>
      </c>
      <c r="B736" s="11">
        <v>0.66061972499999999</v>
      </c>
      <c r="C736" s="17">
        <v>2.408030986</v>
      </c>
      <c r="D736">
        <v>2.4700000000000002</v>
      </c>
      <c r="F736" s="25">
        <f t="shared" si="33"/>
        <v>2.7108752825674879E-2</v>
      </c>
      <c r="G736" s="29">
        <f t="shared" si="34"/>
        <v>0.43641842105907563</v>
      </c>
      <c r="H736" s="31">
        <f t="shared" si="35"/>
        <v>5.7986132295361319</v>
      </c>
    </row>
    <row r="737" spans="1:8" x14ac:dyDescent="0.3">
      <c r="A737" s="5">
        <v>2.3630481890000001</v>
      </c>
      <c r="B737" s="11">
        <v>2.431288812</v>
      </c>
      <c r="C737" s="17">
        <v>2.4965644409999999</v>
      </c>
      <c r="D737">
        <v>2.4700000000000002</v>
      </c>
      <c r="F737" s="25">
        <f t="shared" si="33"/>
        <v>5.5839967435361801</v>
      </c>
      <c r="G737" s="29">
        <f t="shared" si="34"/>
        <v>5.9111652873563711</v>
      </c>
      <c r="H737" s="31">
        <f t="shared" si="35"/>
        <v>6.2328340080656419</v>
      </c>
    </row>
    <row r="738" spans="1:8" x14ac:dyDescent="0.3">
      <c r="A738" s="5">
        <v>3.1028168580000002</v>
      </c>
      <c r="B738" s="11">
        <v>2.8069612830000001</v>
      </c>
      <c r="C738" s="17">
        <v>2.5153480639999999</v>
      </c>
      <c r="D738">
        <v>2.4700000000000002</v>
      </c>
      <c r="F738" s="25">
        <f t="shared" si="33"/>
        <v>9.6274724542889931</v>
      </c>
      <c r="G738" s="29">
        <f t="shared" si="34"/>
        <v>7.8790316442610067</v>
      </c>
      <c r="H738" s="31">
        <f t="shared" si="35"/>
        <v>6.3269758830685472</v>
      </c>
    </row>
    <row r="739" spans="1:8" x14ac:dyDescent="0.3">
      <c r="A739" s="5">
        <v>0.32242805299999999</v>
      </c>
      <c r="B739" s="11">
        <v>0.98183051700000001</v>
      </c>
      <c r="C739" s="17">
        <v>2.4240915260000002</v>
      </c>
      <c r="D739">
        <v>2.4700000000000002</v>
      </c>
      <c r="F739" s="25">
        <f t="shared" si="33"/>
        <v>0.1039598493613708</v>
      </c>
      <c r="G739" s="29">
        <f t="shared" si="34"/>
        <v>0.96399116411248731</v>
      </c>
      <c r="H739" s="31">
        <f t="shared" si="35"/>
        <v>5.8762197264250098</v>
      </c>
    </row>
    <row r="740" spans="1:8" x14ac:dyDescent="0.3">
      <c r="A740" s="5">
        <v>3.5184789570000001</v>
      </c>
      <c r="B740" s="11">
        <v>3.0350602809999998</v>
      </c>
      <c r="C740" s="17">
        <v>2.5267530140000001</v>
      </c>
      <c r="D740">
        <v>2.4700000000000002</v>
      </c>
      <c r="F740" s="25">
        <f t="shared" si="33"/>
        <v>12.379694170851808</v>
      </c>
      <c r="G740" s="29">
        <f t="shared" si="34"/>
        <v>9.2115909093037978</v>
      </c>
      <c r="H740" s="31">
        <f t="shared" si="35"/>
        <v>6.384480793758085</v>
      </c>
    </row>
    <row r="741" spans="1:8" x14ac:dyDescent="0.3">
      <c r="A741" s="5">
        <v>2.3519089329999998</v>
      </c>
      <c r="B741" s="11">
        <v>2.4256897350000002</v>
      </c>
      <c r="C741" s="17">
        <v>2.4962844870000001</v>
      </c>
      <c r="D741">
        <v>2.4700000000000002</v>
      </c>
      <c r="F741" s="25">
        <f t="shared" si="33"/>
        <v>5.5314756291251976</v>
      </c>
      <c r="G741" s="29">
        <f t="shared" si="34"/>
        <v>5.8839706904843707</v>
      </c>
      <c r="H741" s="31">
        <f t="shared" si="35"/>
        <v>6.231436240036853</v>
      </c>
    </row>
    <row r="742" spans="1:8" x14ac:dyDescent="0.3">
      <c r="A742" s="5">
        <v>4.1296121100000001</v>
      </c>
      <c r="B742" s="11">
        <v>3.4381733429999999</v>
      </c>
      <c r="C742" s="17">
        <v>2.5469086669999998</v>
      </c>
      <c r="D742">
        <v>2.4700000000000002</v>
      </c>
      <c r="F742" s="25">
        <f t="shared" si="33"/>
        <v>17.053696179058651</v>
      </c>
      <c r="G742" s="29">
        <f t="shared" si="34"/>
        <v>11.821035936515795</v>
      </c>
      <c r="H742" s="31">
        <f t="shared" si="35"/>
        <v>6.486743758039716</v>
      </c>
    </row>
    <row r="743" spans="1:8" x14ac:dyDescent="0.3">
      <c r="A743" s="5">
        <v>0.83498641900000004</v>
      </c>
      <c r="B743" s="11">
        <v>1.533900622</v>
      </c>
      <c r="C743" s="17">
        <v>2.4516950309999999</v>
      </c>
      <c r="D743">
        <v>2.4700000000000002</v>
      </c>
      <c r="F743" s="25">
        <f t="shared" si="33"/>
        <v>0.69720231991444359</v>
      </c>
      <c r="G743" s="29">
        <f t="shared" si="34"/>
        <v>2.3528511181719867</v>
      </c>
      <c r="H743" s="31">
        <f t="shared" si="35"/>
        <v>6.0108085250300904</v>
      </c>
    </row>
    <row r="744" spans="1:8" x14ac:dyDescent="0.3">
      <c r="A744" s="5">
        <v>1.485946226</v>
      </c>
      <c r="B744" s="11">
        <v>1.967497673</v>
      </c>
      <c r="C744" s="17">
        <v>2.4733748840000001</v>
      </c>
      <c r="D744">
        <v>2.4700000000000002</v>
      </c>
      <c r="F744" s="25">
        <f t="shared" si="33"/>
        <v>2.2080361865636431</v>
      </c>
      <c r="G744" s="29">
        <f t="shared" si="34"/>
        <v>3.8710470932604149</v>
      </c>
      <c r="H744" s="31">
        <f t="shared" si="35"/>
        <v>6.1175833168020137</v>
      </c>
    </row>
    <row r="745" spans="1:8" x14ac:dyDescent="0.3">
      <c r="A745" s="5">
        <v>4.0841395309999999</v>
      </c>
      <c r="B745" s="11">
        <v>3.40334197</v>
      </c>
      <c r="C745" s="17">
        <v>2.5451670989999999</v>
      </c>
      <c r="D745">
        <v>2.4700000000000002</v>
      </c>
      <c r="F745" s="25">
        <f t="shared" si="33"/>
        <v>16.680195708676898</v>
      </c>
      <c r="G745" s="29">
        <f t="shared" si="34"/>
        <v>11.582736564763481</v>
      </c>
      <c r="H745" s="31">
        <f t="shared" si="35"/>
        <v>6.4778755618320751</v>
      </c>
    </row>
    <row r="746" spans="1:8" x14ac:dyDescent="0.3">
      <c r="A746" s="5">
        <v>4.5780816059999996</v>
      </c>
      <c r="B746" s="11">
        <v>3.8761746229999998</v>
      </c>
      <c r="C746" s="17">
        <v>2.5688087309999998</v>
      </c>
      <c r="D746">
        <v>2.4700000000000002</v>
      </c>
      <c r="F746" s="25">
        <f t="shared" si="33"/>
        <v>20.958831191195536</v>
      </c>
      <c r="G746" s="29">
        <f t="shared" si="34"/>
        <v>15.024729707989191</v>
      </c>
      <c r="H746" s="31">
        <f t="shared" si="35"/>
        <v>6.5987782964618296</v>
      </c>
    </row>
    <row r="747" spans="1:8" x14ac:dyDescent="0.3">
      <c r="A747" s="5">
        <v>4.9085970640000003</v>
      </c>
      <c r="B747" s="11">
        <v>4.590628186</v>
      </c>
      <c r="C747" s="17">
        <v>2.6045314089999998</v>
      </c>
      <c r="D747">
        <v>2.4700000000000002</v>
      </c>
      <c r="F747" s="25">
        <f t="shared" si="33"/>
        <v>24.094325136709422</v>
      </c>
      <c r="G747" s="29">
        <f t="shared" si="34"/>
        <v>21.073867142097651</v>
      </c>
      <c r="H747" s="31">
        <f t="shared" si="35"/>
        <v>6.783583860467524</v>
      </c>
    </row>
    <row r="748" spans="1:8" x14ac:dyDescent="0.3">
      <c r="A748" s="5">
        <v>0.94790490400000005</v>
      </c>
      <c r="B748" s="11">
        <v>1.6205595509999999</v>
      </c>
      <c r="C748" s="17">
        <v>2.4560279779999998</v>
      </c>
      <c r="D748">
        <v>2.4700000000000002</v>
      </c>
      <c r="F748" s="25">
        <f t="shared" si="33"/>
        <v>0.89852370702724926</v>
      </c>
      <c r="G748" s="29">
        <f t="shared" si="34"/>
        <v>2.6262132583373212</v>
      </c>
      <c r="H748" s="31">
        <f t="shared" si="35"/>
        <v>6.0320734287187676</v>
      </c>
    </row>
    <row r="749" spans="1:8" x14ac:dyDescent="0.3">
      <c r="A749" s="5">
        <v>1.8318735310000001</v>
      </c>
      <c r="B749" s="11">
        <v>2.1585290769999999</v>
      </c>
      <c r="C749" s="17">
        <v>2.4829264539999998</v>
      </c>
      <c r="D749">
        <v>2.4700000000000002</v>
      </c>
      <c r="F749" s="25">
        <f t="shared" si="33"/>
        <v>3.355760633578408</v>
      </c>
      <c r="G749" s="29">
        <f t="shared" si="34"/>
        <v>4.6592477762544711</v>
      </c>
      <c r="H749" s="31">
        <f t="shared" si="35"/>
        <v>6.1649237759730129</v>
      </c>
    </row>
    <row r="750" spans="1:8" x14ac:dyDescent="0.3">
      <c r="A750" s="5">
        <v>4.3871883299999999</v>
      </c>
      <c r="B750" s="11">
        <v>3.6622728379999998</v>
      </c>
      <c r="C750" s="17">
        <v>2.5581136419999999</v>
      </c>
      <c r="D750">
        <v>2.4700000000000002</v>
      </c>
      <c r="F750" s="25">
        <f t="shared" si="33"/>
        <v>19.247421442888189</v>
      </c>
      <c r="G750" s="29">
        <f t="shared" si="34"/>
        <v>13.412242339952574</v>
      </c>
      <c r="H750" s="31">
        <f t="shared" si="35"/>
        <v>6.5439454053865038</v>
      </c>
    </row>
    <row r="751" spans="1:8" x14ac:dyDescent="0.3">
      <c r="A751" s="5">
        <v>1.957457198</v>
      </c>
      <c r="B751" s="11">
        <v>2.224566351</v>
      </c>
      <c r="C751" s="17">
        <v>2.4862283180000002</v>
      </c>
      <c r="D751">
        <v>2.4700000000000002</v>
      </c>
      <c r="F751" s="25">
        <f t="shared" si="33"/>
        <v>3.8316386820020112</v>
      </c>
      <c r="G751" s="29">
        <f t="shared" si="34"/>
        <v>4.9486954500014555</v>
      </c>
      <c r="H751" s="31">
        <f t="shared" si="35"/>
        <v>6.18133124922511</v>
      </c>
    </row>
    <row r="752" spans="1:8" x14ac:dyDescent="0.3">
      <c r="A752" s="5">
        <v>3.467970824</v>
      </c>
      <c r="B752" s="11">
        <v>3.0060633160000001</v>
      </c>
      <c r="C752" s="17">
        <v>2.525303166</v>
      </c>
      <c r="D752">
        <v>2.4700000000000002</v>
      </c>
      <c r="F752" s="25">
        <f t="shared" si="33"/>
        <v>12.026821636115239</v>
      </c>
      <c r="G752" s="29">
        <f t="shared" si="34"/>
        <v>9.036416659800917</v>
      </c>
      <c r="H752" s="31">
        <f t="shared" si="35"/>
        <v>6.3771560802096241</v>
      </c>
    </row>
    <row r="753" spans="1:8" x14ac:dyDescent="0.3">
      <c r="A753" s="5">
        <v>3.9843440050000001</v>
      </c>
      <c r="B753" s="11">
        <v>3.330489171</v>
      </c>
      <c r="C753" s="17">
        <v>2.5415244590000001</v>
      </c>
      <c r="D753">
        <v>2.4700000000000002</v>
      </c>
      <c r="F753" s="25">
        <f t="shared" si="33"/>
        <v>15.874997150179441</v>
      </c>
      <c r="G753" s="29">
        <f t="shared" si="34"/>
        <v>11.092158118148268</v>
      </c>
      <c r="H753" s="31">
        <f t="shared" si="35"/>
        <v>6.4593465756952435</v>
      </c>
    </row>
    <row r="754" spans="1:8" x14ac:dyDescent="0.3">
      <c r="A754" s="5">
        <v>1.655018769</v>
      </c>
      <c r="B754" s="11">
        <v>2.062855919</v>
      </c>
      <c r="C754" s="17">
        <v>2.4781427960000002</v>
      </c>
      <c r="D754">
        <v>2.4700000000000002</v>
      </c>
      <c r="F754" s="25">
        <f t="shared" si="33"/>
        <v>2.7390871257422753</v>
      </c>
      <c r="G754" s="29">
        <f t="shared" si="34"/>
        <v>4.2553745425533345</v>
      </c>
      <c r="H754" s="31">
        <f t="shared" si="35"/>
        <v>6.1411917173666986</v>
      </c>
    </row>
    <row r="755" spans="1:8" x14ac:dyDescent="0.3">
      <c r="A755" s="5">
        <v>0.394604328</v>
      </c>
      <c r="B755" s="11">
        <v>1.0876320349999999</v>
      </c>
      <c r="C755" s="17">
        <v>2.4293816019999999</v>
      </c>
      <c r="D755">
        <v>2.4700000000000002</v>
      </c>
      <c r="F755" s="25">
        <f t="shared" si="33"/>
        <v>0.15571257567633159</v>
      </c>
      <c r="G755" s="29">
        <f t="shared" si="34"/>
        <v>1.1829434435582411</v>
      </c>
      <c r="H755" s="31">
        <f t="shared" si="35"/>
        <v>5.9018949681360855</v>
      </c>
    </row>
    <row r="756" spans="1:8" x14ac:dyDescent="0.3">
      <c r="A756" s="5">
        <v>3.1853694269999999</v>
      </c>
      <c r="B756" s="11">
        <v>2.8506488609999998</v>
      </c>
      <c r="C756" s="17">
        <v>2.5175324429999999</v>
      </c>
      <c r="D756">
        <v>2.4700000000000002</v>
      </c>
      <c r="F756" s="25">
        <f t="shared" si="33"/>
        <v>10.146578386466308</v>
      </c>
      <c r="G756" s="29">
        <f t="shared" si="34"/>
        <v>8.126198928720596</v>
      </c>
      <c r="H756" s="31">
        <f t="shared" si="35"/>
        <v>6.337969601557548</v>
      </c>
    </row>
    <row r="757" spans="1:8" x14ac:dyDescent="0.3">
      <c r="A757" s="5">
        <v>2.4897000029999998</v>
      </c>
      <c r="B757" s="11">
        <v>2.4948363439999999</v>
      </c>
      <c r="C757" s="17">
        <v>2.4997418169999999</v>
      </c>
      <c r="D757">
        <v>2.4700000000000002</v>
      </c>
      <c r="F757" s="25">
        <f t="shared" si="33"/>
        <v>6.1986061049381993</v>
      </c>
      <c r="G757" s="29">
        <f t="shared" si="34"/>
        <v>6.224208383343286</v>
      </c>
      <c r="H757" s="31">
        <f t="shared" si="35"/>
        <v>6.2487091516584607</v>
      </c>
    </row>
    <row r="758" spans="1:8" x14ac:dyDescent="0.3">
      <c r="A758" s="5">
        <v>4.9330118719999998</v>
      </c>
      <c r="B758" s="11">
        <v>4.71449227</v>
      </c>
      <c r="C758" s="17">
        <v>2.6107246129999999</v>
      </c>
      <c r="D758">
        <v>2.4700000000000002</v>
      </c>
      <c r="F758" s="25">
        <f t="shared" si="33"/>
        <v>24.334606129292943</v>
      </c>
      <c r="G758" s="29">
        <f t="shared" si="34"/>
        <v>22.226437363889755</v>
      </c>
      <c r="H758" s="31">
        <f t="shared" si="35"/>
        <v>6.8158830049239993</v>
      </c>
    </row>
    <row r="759" spans="1:8" x14ac:dyDescent="0.3">
      <c r="A759" s="5">
        <v>3.8761558890000001</v>
      </c>
      <c r="B759" s="11">
        <v>3.2561857270000001</v>
      </c>
      <c r="C759" s="17">
        <v>2.5378092859999999</v>
      </c>
      <c r="D759">
        <v>2.4700000000000002</v>
      </c>
      <c r="F759" s="25">
        <f t="shared" si="33"/>
        <v>15.02458447582938</v>
      </c>
      <c r="G759" s="29">
        <f t="shared" si="34"/>
        <v>10.602745488718519</v>
      </c>
      <c r="H759" s="31">
        <f t="shared" si="35"/>
        <v>6.4404759721078291</v>
      </c>
    </row>
    <row r="760" spans="1:8" x14ac:dyDescent="0.3">
      <c r="A760" s="5">
        <v>3.7041840879999999</v>
      </c>
      <c r="B760" s="11">
        <v>3.1459276850000002</v>
      </c>
      <c r="C760" s="17">
        <v>2.5322963839999999</v>
      </c>
      <c r="D760">
        <v>2.4700000000000002</v>
      </c>
      <c r="F760" s="25">
        <f t="shared" si="33"/>
        <v>13.72097975779239</v>
      </c>
      <c r="G760" s="29">
        <f t="shared" si="34"/>
        <v>9.8968609992494603</v>
      </c>
      <c r="H760" s="31">
        <f t="shared" si="35"/>
        <v>6.4125249764194754</v>
      </c>
    </row>
    <row r="761" spans="1:8" x14ac:dyDescent="0.3">
      <c r="A761" s="5">
        <v>0.31846064600000001</v>
      </c>
      <c r="B761" s="11">
        <v>0.975500433</v>
      </c>
      <c r="C761" s="17">
        <v>2.4237750220000001</v>
      </c>
      <c r="D761">
        <v>2.4700000000000002</v>
      </c>
      <c r="F761" s="25">
        <f t="shared" si="33"/>
        <v>0.10141718305073733</v>
      </c>
      <c r="G761" s="29">
        <f t="shared" si="34"/>
        <v>0.95160109478318744</v>
      </c>
      <c r="H761" s="31">
        <f t="shared" si="35"/>
        <v>5.8746853572711011</v>
      </c>
    </row>
    <row r="762" spans="1:8" x14ac:dyDescent="0.3">
      <c r="A762" s="5">
        <v>1.464430677</v>
      </c>
      <c r="B762" s="11">
        <v>1.955027364</v>
      </c>
      <c r="C762" s="17">
        <v>2.4727513679999999</v>
      </c>
      <c r="D762">
        <v>2.4700000000000002</v>
      </c>
      <c r="F762" s="25">
        <f t="shared" si="33"/>
        <v>2.1445572077386781</v>
      </c>
      <c r="G762" s="29">
        <f t="shared" si="34"/>
        <v>3.8221319939887883</v>
      </c>
      <c r="H762" s="31">
        <f t="shared" si="35"/>
        <v>6.1144993279458708</v>
      </c>
    </row>
    <row r="763" spans="1:8" x14ac:dyDescent="0.3">
      <c r="A763" s="5">
        <v>4.7061067540000003</v>
      </c>
      <c r="B763" s="11">
        <v>4.0651085050000004</v>
      </c>
      <c r="C763" s="17">
        <v>2.578255425</v>
      </c>
      <c r="D763">
        <v>2.4700000000000002</v>
      </c>
      <c r="F763" s="25">
        <f t="shared" si="33"/>
        <v>22.14744078004442</v>
      </c>
      <c r="G763" s="29">
        <f t="shared" si="34"/>
        <v>16.525107157423339</v>
      </c>
      <c r="H763" s="31">
        <f t="shared" si="35"/>
        <v>6.6474010365419307</v>
      </c>
    </row>
    <row r="764" spans="1:8" x14ac:dyDescent="0.3">
      <c r="A764" s="5">
        <v>3.5055085909999999</v>
      </c>
      <c r="B764" s="11">
        <v>3.0275717289999999</v>
      </c>
      <c r="C764" s="17">
        <v>2.5263785859999999</v>
      </c>
      <c r="D764">
        <v>2.4700000000000002</v>
      </c>
      <c r="F764" s="25">
        <f t="shared" si="33"/>
        <v>12.288590481574804</v>
      </c>
      <c r="G764" s="29">
        <f t="shared" si="34"/>
        <v>9.1661905742400496</v>
      </c>
      <c r="H764" s="31">
        <f t="shared" si="35"/>
        <v>6.3825887597993587</v>
      </c>
    </row>
    <row r="765" spans="1:8" x14ac:dyDescent="0.3">
      <c r="A765" s="5">
        <v>3.3480330820000002</v>
      </c>
      <c r="B765" s="11">
        <v>2.9388266459999999</v>
      </c>
      <c r="C765" s="17">
        <v>2.5219413319999999</v>
      </c>
      <c r="D765">
        <v>2.4700000000000002</v>
      </c>
      <c r="F765" s="25">
        <f t="shared" si="33"/>
        <v>11.20932551816642</v>
      </c>
      <c r="G765" s="29">
        <f t="shared" si="34"/>
        <v>8.6367020552396081</v>
      </c>
      <c r="H765" s="31">
        <f t="shared" si="35"/>
        <v>6.3601880820499339</v>
      </c>
    </row>
    <row r="766" spans="1:8" x14ac:dyDescent="0.3">
      <c r="A766" s="5">
        <v>2.155369732</v>
      </c>
      <c r="B766" s="11">
        <v>2.3263592719999999</v>
      </c>
      <c r="C766" s="17">
        <v>2.4913179639999998</v>
      </c>
      <c r="D766">
        <v>2.4700000000000002</v>
      </c>
      <c r="F766" s="25">
        <f t="shared" si="33"/>
        <v>4.6456186816217517</v>
      </c>
      <c r="G766" s="29">
        <f t="shared" si="34"/>
        <v>5.4119474624203701</v>
      </c>
      <c r="H766" s="31">
        <f t="shared" si="35"/>
        <v>6.2066651977491043</v>
      </c>
    </row>
    <row r="767" spans="1:8" x14ac:dyDescent="0.3">
      <c r="A767" s="5">
        <v>2.0543534650000002</v>
      </c>
      <c r="B767" s="11">
        <v>2.2746942880000001</v>
      </c>
      <c r="C767" s="17">
        <v>2.488734714</v>
      </c>
      <c r="D767">
        <v>2.4700000000000002</v>
      </c>
      <c r="F767" s="25">
        <f t="shared" si="33"/>
        <v>4.2203681591575073</v>
      </c>
      <c r="G767" s="29">
        <f t="shared" si="34"/>
        <v>5.1742341038598276</v>
      </c>
      <c r="H767" s="31">
        <f t="shared" si="35"/>
        <v>6.1938004766686623</v>
      </c>
    </row>
    <row r="768" spans="1:8" x14ac:dyDescent="0.3">
      <c r="A768" s="5">
        <v>1.9177831350000001</v>
      </c>
      <c r="B768" s="11">
        <v>2.2038469250000001</v>
      </c>
      <c r="C768" s="17">
        <v>2.4851923459999998</v>
      </c>
      <c r="D768">
        <v>2.4700000000000002</v>
      </c>
      <c r="F768" s="25">
        <f t="shared" si="33"/>
        <v>3.6778921528904287</v>
      </c>
      <c r="G768" s="29">
        <f t="shared" si="34"/>
        <v>4.8569412688319558</v>
      </c>
      <c r="H768" s="31">
        <f t="shared" si="35"/>
        <v>6.1761809966169832</v>
      </c>
    </row>
    <row r="769" spans="1:8" x14ac:dyDescent="0.3">
      <c r="A769" s="5">
        <v>0.57802056899999998</v>
      </c>
      <c r="B769" s="11">
        <v>1.3027479959999999</v>
      </c>
      <c r="C769" s="17">
        <v>2.4401373999999998</v>
      </c>
      <c r="D769">
        <v>2.4700000000000002</v>
      </c>
      <c r="F769" s="25">
        <f t="shared" si="33"/>
        <v>0.33410777818708376</v>
      </c>
      <c r="G769" s="29">
        <f t="shared" si="34"/>
        <v>1.6971523410820157</v>
      </c>
      <c r="H769" s="31">
        <f t="shared" si="35"/>
        <v>5.9542705308787589</v>
      </c>
    </row>
    <row r="770" spans="1:8" x14ac:dyDescent="0.3">
      <c r="A770" s="5">
        <v>1.5520187990000001</v>
      </c>
      <c r="B770" s="11">
        <v>2.005293999</v>
      </c>
      <c r="C770" s="17">
        <v>2.4752646999999999</v>
      </c>
      <c r="D770">
        <v>2.4700000000000002</v>
      </c>
      <c r="F770" s="25">
        <f t="shared" si="33"/>
        <v>2.4087623524494024</v>
      </c>
      <c r="G770" s="29">
        <f t="shared" si="34"/>
        <v>4.0212040224254126</v>
      </c>
      <c r="H770" s="31">
        <f t="shared" si="35"/>
        <v>6.1269353350660891</v>
      </c>
    </row>
    <row r="771" spans="1:8" x14ac:dyDescent="0.3">
      <c r="A771" s="5">
        <v>0.14603106800000001</v>
      </c>
      <c r="B771" s="11">
        <v>0.60741428500000005</v>
      </c>
      <c r="C771" s="17">
        <v>2.405370714</v>
      </c>
      <c r="D771">
        <v>2.4700000000000002</v>
      </c>
      <c r="F771" s="25">
        <f t="shared" ref="F771:F834" si="36">POWER(A771,2)</f>
        <v>2.1325072821220627E-2</v>
      </c>
      <c r="G771" s="29">
        <f t="shared" ref="G771:G834" si="37">POWER(B771,2)</f>
        <v>0.36895211362206132</v>
      </c>
      <c r="H771" s="31">
        <f t="shared" ref="H771:H834" si="38">POWER(C771,2)</f>
        <v>5.7858082717688699</v>
      </c>
    </row>
    <row r="772" spans="1:8" x14ac:dyDescent="0.3">
      <c r="A772" s="5">
        <v>0.17410809699999999</v>
      </c>
      <c r="B772" s="11">
        <v>0.68577634899999995</v>
      </c>
      <c r="C772" s="17">
        <v>2.4092888170000002</v>
      </c>
      <c r="D772">
        <v>2.4700000000000002</v>
      </c>
      <c r="F772" s="25">
        <f t="shared" si="36"/>
        <v>3.0313629440961404E-2</v>
      </c>
      <c r="G772" s="29">
        <f t="shared" si="37"/>
        <v>0.47028920084776976</v>
      </c>
      <c r="H772" s="31">
        <f t="shared" si="38"/>
        <v>5.8046726037212606</v>
      </c>
    </row>
    <row r="773" spans="1:8" x14ac:dyDescent="0.3">
      <c r="A773" s="5">
        <v>4.0823084200000004</v>
      </c>
      <c r="B773" s="11">
        <v>3.4019618120000001</v>
      </c>
      <c r="C773" s="17">
        <v>2.5450980909999998</v>
      </c>
      <c r="D773">
        <v>2.4700000000000002</v>
      </c>
      <c r="F773" s="25">
        <f t="shared" si="36"/>
        <v>16.665242036002901</v>
      </c>
      <c r="G773" s="29">
        <f t="shared" si="37"/>
        <v>11.573344170306324</v>
      </c>
      <c r="H773" s="31">
        <f t="shared" si="38"/>
        <v>6.4775242928118431</v>
      </c>
    </row>
    <row r="774" spans="1:8" x14ac:dyDescent="0.3">
      <c r="A774" s="5">
        <v>3.6107974490000001</v>
      </c>
      <c r="B774" s="11">
        <v>3.0892684379999999</v>
      </c>
      <c r="C774" s="17">
        <v>2.5294634220000001</v>
      </c>
      <c r="D774">
        <v>2.4700000000000002</v>
      </c>
      <c r="F774" s="25">
        <f t="shared" si="36"/>
        <v>13.037858217704908</v>
      </c>
      <c r="G774" s="29">
        <f t="shared" si="37"/>
        <v>9.5435794820229596</v>
      </c>
      <c r="H774" s="31">
        <f t="shared" si="38"/>
        <v>6.3981852032359505</v>
      </c>
    </row>
    <row r="775" spans="1:8" x14ac:dyDescent="0.3">
      <c r="A775" s="5">
        <v>4.0777306439999998</v>
      </c>
      <c r="B775" s="11">
        <v>3.398521648</v>
      </c>
      <c r="C775" s="17">
        <v>2.5449260819999999</v>
      </c>
      <c r="D775">
        <v>2.4700000000000002</v>
      </c>
      <c r="F775" s="25">
        <f t="shared" si="36"/>
        <v>16.627887205016652</v>
      </c>
      <c r="G775" s="29">
        <f t="shared" si="37"/>
        <v>11.549949391924637</v>
      </c>
      <c r="H775" s="31">
        <f t="shared" si="38"/>
        <v>6.4766487628438707</v>
      </c>
    </row>
    <row r="776" spans="1:8" x14ac:dyDescent="0.3">
      <c r="A776" s="5">
        <v>4.5901364180000002</v>
      </c>
      <c r="B776" s="11">
        <v>3.8919225239999999</v>
      </c>
      <c r="C776" s="17">
        <v>2.569596126</v>
      </c>
      <c r="D776">
        <v>2.4700000000000002</v>
      </c>
      <c r="F776" s="25">
        <f t="shared" si="36"/>
        <v>21.069352335849871</v>
      </c>
      <c r="G776" s="29">
        <f t="shared" si="37"/>
        <v>15.14706093281853</v>
      </c>
      <c r="H776" s="31">
        <f t="shared" si="38"/>
        <v>6.6028242507542076</v>
      </c>
    </row>
    <row r="777" spans="1:8" x14ac:dyDescent="0.3">
      <c r="A777" s="5">
        <v>2.6035340429999998</v>
      </c>
      <c r="B777" s="11">
        <v>2.5519276</v>
      </c>
      <c r="C777" s="17">
        <v>2.50259638</v>
      </c>
      <c r="D777">
        <v>2.4700000000000002</v>
      </c>
      <c r="F777" s="25">
        <f t="shared" si="36"/>
        <v>6.778389513059925</v>
      </c>
      <c r="G777" s="29">
        <f t="shared" si="37"/>
        <v>6.5123344756417598</v>
      </c>
      <c r="H777" s="31">
        <f t="shared" si="38"/>
        <v>6.2629886411891045</v>
      </c>
    </row>
    <row r="778" spans="1:8" x14ac:dyDescent="0.3">
      <c r="A778" s="5">
        <v>1.5398113959999999</v>
      </c>
      <c r="B778" s="11">
        <v>1.998365924</v>
      </c>
      <c r="C778" s="17">
        <v>2.4749182959999998</v>
      </c>
      <c r="D778">
        <v>2.4700000000000002</v>
      </c>
      <c r="F778" s="25">
        <f t="shared" si="36"/>
        <v>2.3710191352514687</v>
      </c>
      <c r="G778" s="29">
        <f t="shared" si="37"/>
        <v>3.9934663662043737</v>
      </c>
      <c r="H778" s="31">
        <f t="shared" si="38"/>
        <v>6.125220571875543</v>
      </c>
    </row>
    <row r="779" spans="1:8" x14ac:dyDescent="0.3">
      <c r="A779" s="5">
        <v>3.415784173</v>
      </c>
      <c r="B779" s="11">
        <v>2.9765445279999998</v>
      </c>
      <c r="C779" s="17">
        <v>2.5238272259999999</v>
      </c>
      <c r="D779">
        <v>2.4700000000000002</v>
      </c>
      <c r="F779" s="25">
        <f t="shared" si="36"/>
        <v>11.667581516517295</v>
      </c>
      <c r="G779" s="29">
        <f t="shared" si="37"/>
        <v>8.8598173271667413</v>
      </c>
      <c r="H779" s="31">
        <f t="shared" si="38"/>
        <v>6.3697038666988544</v>
      </c>
    </row>
    <row r="780" spans="1:8" x14ac:dyDescent="0.3">
      <c r="A780" s="5">
        <v>1.3895077360000001</v>
      </c>
      <c r="B780" s="11">
        <v>1.91091346</v>
      </c>
      <c r="C780" s="17">
        <v>2.4705456730000002</v>
      </c>
      <c r="D780">
        <v>2.4700000000000002</v>
      </c>
      <c r="F780" s="25">
        <f t="shared" si="36"/>
        <v>1.930731748403846</v>
      </c>
      <c r="G780" s="29">
        <f t="shared" si="37"/>
        <v>3.6515902516091714</v>
      </c>
      <c r="H780" s="31">
        <f t="shared" si="38"/>
        <v>6.1035959223790242</v>
      </c>
    </row>
    <row r="781" spans="1:8" x14ac:dyDescent="0.3">
      <c r="A781" s="5">
        <v>0.195928831</v>
      </c>
      <c r="B781" s="11">
        <v>0.73978669200000002</v>
      </c>
      <c r="C781" s="17">
        <v>2.4119893349999999</v>
      </c>
      <c r="D781">
        <v>2.4700000000000002</v>
      </c>
      <c r="F781" s="25">
        <f t="shared" si="36"/>
        <v>3.8388106817026563E-2</v>
      </c>
      <c r="G781" s="29">
        <f t="shared" si="37"/>
        <v>0.54728434966030293</v>
      </c>
      <c r="H781" s="31">
        <f t="shared" si="38"/>
        <v>5.8176925521537415</v>
      </c>
    </row>
    <row r="782" spans="1:8" x14ac:dyDescent="0.3">
      <c r="A782" s="5">
        <v>2.4951933350000002</v>
      </c>
      <c r="B782" s="11">
        <v>2.4975898390000002</v>
      </c>
      <c r="C782" s="17">
        <v>2.4998794919999998</v>
      </c>
      <c r="D782">
        <v>2.4700000000000002</v>
      </c>
      <c r="F782" s="25">
        <f t="shared" si="36"/>
        <v>6.2259897790284233</v>
      </c>
      <c r="G782" s="29">
        <f t="shared" si="37"/>
        <v>6.2379550038760465</v>
      </c>
      <c r="H782" s="31">
        <f t="shared" si="38"/>
        <v>6.2493974745221772</v>
      </c>
    </row>
    <row r="783" spans="1:8" x14ac:dyDescent="0.3">
      <c r="A783" s="5">
        <v>1.2359996339999999</v>
      </c>
      <c r="B783" s="11">
        <v>1.816672756</v>
      </c>
      <c r="C783" s="17">
        <v>2.4658336379999999</v>
      </c>
      <c r="D783">
        <v>2.4700000000000002</v>
      </c>
      <c r="F783" s="25">
        <f t="shared" si="36"/>
        <v>1.5276950952481336</v>
      </c>
      <c r="G783" s="29">
        <f t="shared" si="37"/>
        <v>3.3002999023926356</v>
      </c>
      <c r="H783" s="31">
        <f t="shared" si="38"/>
        <v>6.0803355302923148</v>
      </c>
    </row>
    <row r="784" spans="1:8" x14ac:dyDescent="0.3">
      <c r="A784" s="5">
        <v>0.21469771400000001</v>
      </c>
      <c r="B784" s="11">
        <v>0.78245563500000004</v>
      </c>
      <c r="C784" s="17">
        <v>2.4141227820000002</v>
      </c>
      <c r="D784">
        <v>2.4700000000000002</v>
      </c>
      <c r="F784" s="25">
        <f t="shared" si="36"/>
        <v>4.6095108396825804E-2</v>
      </c>
      <c r="G784" s="29">
        <f t="shared" si="37"/>
        <v>0.61223682074325325</v>
      </c>
      <c r="H784" s="31">
        <f t="shared" si="38"/>
        <v>5.8279888065714207</v>
      </c>
    </row>
    <row r="785" spans="1:8" x14ac:dyDescent="0.3">
      <c r="A785" s="5">
        <v>3.8241218300000002</v>
      </c>
      <c r="B785" s="11">
        <v>3.2219068719999999</v>
      </c>
      <c r="C785" s="17">
        <v>2.536095344</v>
      </c>
      <c r="D785">
        <v>2.4700000000000002</v>
      </c>
      <c r="F785" s="25">
        <f t="shared" si="36"/>
        <v>14.62390777068255</v>
      </c>
      <c r="G785" s="29">
        <f t="shared" si="37"/>
        <v>10.380683891840825</v>
      </c>
      <c r="H785" s="31">
        <f t="shared" si="38"/>
        <v>6.4317795938584785</v>
      </c>
    </row>
    <row r="786" spans="1:8" x14ac:dyDescent="0.3">
      <c r="A786" s="5">
        <v>0.41032136000000002</v>
      </c>
      <c r="B786" s="11">
        <v>1.1086800160000001</v>
      </c>
      <c r="C786" s="17">
        <v>2.4304340010000001</v>
      </c>
      <c r="D786">
        <v>2.4700000000000002</v>
      </c>
      <c r="F786" s="25">
        <f t="shared" si="36"/>
        <v>0.16836361847224962</v>
      </c>
      <c r="G786" s="29">
        <f t="shared" si="37"/>
        <v>1.2291713778777604</v>
      </c>
      <c r="H786" s="31">
        <f t="shared" si="38"/>
        <v>5.9070094332168681</v>
      </c>
    </row>
    <row r="787" spans="1:8" x14ac:dyDescent="0.3">
      <c r="A787" s="5">
        <v>3.7580492570000001</v>
      </c>
      <c r="B787" s="11">
        <v>3.179564209</v>
      </c>
      <c r="C787" s="17">
        <v>2.5339782099999999</v>
      </c>
      <c r="D787">
        <v>2.4700000000000002</v>
      </c>
      <c r="F787" s="25">
        <f t="shared" si="36"/>
        <v>14.122934218038253</v>
      </c>
      <c r="G787" s="29">
        <f t="shared" si="37"/>
        <v>10.109628559153796</v>
      </c>
      <c r="H787" s="31">
        <f t="shared" si="38"/>
        <v>6.4210455687548036</v>
      </c>
    </row>
    <row r="788" spans="1:8" x14ac:dyDescent="0.3">
      <c r="A788" s="5">
        <v>0.84795678600000002</v>
      </c>
      <c r="B788" s="11">
        <v>1.544218839</v>
      </c>
      <c r="C788" s="17">
        <v>2.4522109419999998</v>
      </c>
      <c r="D788">
        <v>2.4700000000000002</v>
      </c>
      <c r="F788" s="25">
        <f t="shared" si="36"/>
        <v>0.71903071092344983</v>
      </c>
      <c r="G788" s="29">
        <f t="shared" si="37"/>
        <v>2.3846118227225079</v>
      </c>
      <c r="H788" s="31">
        <f t="shared" si="38"/>
        <v>6.0133385040645262</v>
      </c>
    </row>
    <row r="789" spans="1:8" x14ac:dyDescent="0.3">
      <c r="A789" s="5">
        <v>1.321756645</v>
      </c>
      <c r="B789" s="11">
        <v>1.8700123470000001</v>
      </c>
      <c r="C789" s="17">
        <v>2.4685006170000001</v>
      </c>
      <c r="D789">
        <v>2.4700000000000002</v>
      </c>
      <c r="F789" s="25">
        <f t="shared" si="36"/>
        <v>1.747040628601656</v>
      </c>
      <c r="G789" s="29">
        <f t="shared" si="37"/>
        <v>3.4969461779324487</v>
      </c>
      <c r="H789" s="31">
        <f t="shared" si="38"/>
        <v>6.0934952961293813</v>
      </c>
    </row>
    <row r="790" spans="1:8" x14ac:dyDescent="0.3">
      <c r="A790" s="5">
        <v>2.7430036320000002</v>
      </c>
      <c r="B790" s="11">
        <v>2.6221269490000001</v>
      </c>
      <c r="C790" s="17">
        <v>2.5061063469999998</v>
      </c>
      <c r="D790">
        <v>2.4700000000000002</v>
      </c>
      <c r="F790" s="25">
        <f t="shared" si="36"/>
        <v>7.5240689251651922</v>
      </c>
      <c r="G790" s="29">
        <f t="shared" si="37"/>
        <v>6.8755497366720491</v>
      </c>
      <c r="H790" s="31">
        <f t="shared" si="38"/>
        <v>6.2805690224736832</v>
      </c>
    </row>
    <row r="791" spans="1:8" x14ac:dyDescent="0.3">
      <c r="A791" s="5">
        <v>3.2306894129999999</v>
      </c>
      <c r="B791" s="11">
        <v>2.8749141800000002</v>
      </c>
      <c r="C791" s="17">
        <v>2.5187457090000001</v>
      </c>
      <c r="D791">
        <v>2.4700000000000002</v>
      </c>
      <c r="F791" s="25">
        <f t="shared" si="36"/>
        <v>10.437354083270284</v>
      </c>
      <c r="G791" s="29">
        <f t="shared" si="37"/>
        <v>8.265131542365074</v>
      </c>
      <c r="H791" s="31">
        <f t="shared" si="38"/>
        <v>6.3440799466059126</v>
      </c>
    </row>
    <row r="792" spans="1:8" x14ac:dyDescent="0.3">
      <c r="A792" s="5">
        <v>0.176854762</v>
      </c>
      <c r="B792" s="11">
        <v>0.69287040700000002</v>
      </c>
      <c r="C792" s="17">
        <v>2.4096435199999999</v>
      </c>
      <c r="D792">
        <v>2.4700000000000002</v>
      </c>
      <c r="F792" s="25">
        <f t="shared" si="36"/>
        <v>3.1277606842076644E-2</v>
      </c>
      <c r="G792" s="29">
        <f t="shared" si="37"/>
        <v>0.4800694008963457</v>
      </c>
      <c r="H792" s="31">
        <f t="shared" si="38"/>
        <v>5.8063818934779903</v>
      </c>
    </row>
    <row r="793" spans="1:8" x14ac:dyDescent="0.3">
      <c r="A793" s="5">
        <v>3.6198004090000002</v>
      </c>
      <c r="B793" s="11">
        <v>3.0946458259999998</v>
      </c>
      <c r="C793" s="17">
        <v>2.5297322910000002</v>
      </c>
      <c r="D793">
        <v>2.4700000000000002</v>
      </c>
      <c r="F793" s="25">
        <f t="shared" si="36"/>
        <v>13.10295500099657</v>
      </c>
      <c r="G793" s="29">
        <f t="shared" si="37"/>
        <v>9.576832788379221</v>
      </c>
      <c r="H793" s="31">
        <f t="shared" si="38"/>
        <v>6.39954546412811</v>
      </c>
    </row>
    <row r="794" spans="1:8" x14ac:dyDescent="0.3">
      <c r="A794" s="5">
        <v>4.4178594320000002</v>
      </c>
      <c r="B794" s="11">
        <v>3.6930342230000002</v>
      </c>
      <c r="C794" s="17">
        <v>2.5596517109999999</v>
      </c>
      <c r="D794">
        <v>2.4700000000000002</v>
      </c>
      <c r="F794" s="25">
        <f t="shared" si="36"/>
        <v>19.517481960911365</v>
      </c>
      <c r="G794" s="29">
        <f t="shared" si="37"/>
        <v>13.638501772249215</v>
      </c>
      <c r="H794" s="31">
        <f t="shared" si="38"/>
        <v>6.5518168816252267</v>
      </c>
    </row>
    <row r="795" spans="1:8" x14ac:dyDescent="0.3">
      <c r="A795" s="5">
        <v>4.2275765249999999</v>
      </c>
      <c r="B795" s="11">
        <v>3.5173880579999999</v>
      </c>
      <c r="C795" s="17">
        <v>2.5508694030000001</v>
      </c>
      <c r="D795">
        <v>2.4700000000000002</v>
      </c>
      <c r="F795" s="25">
        <f t="shared" si="36"/>
        <v>17.872403274731074</v>
      </c>
      <c r="G795" s="29">
        <f t="shared" si="37"/>
        <v>12.372018750561011</v>
      </c>
      <c r="H795" s="31">
        <f t="shared" si="38"/>
        <v>6.506934711161577</v>
      </c>
    </row>
    <row r="796" spans="1:8" x14ac:dyDescent="0.3">
      <c r="A796" s="5">
        <v>3.936582537</v>
      </c>
      <c r="B796" s="11">
        <v>3.2971448209999998</v>
      </c>
      <c r="C796" s="17">
        <v>2.539857241</v>
      </c>
      <c r="D796">
        <v>2.4700000000000002</v>
      </c>
      <c r="F796" s="25">
        <f t="shared" si="36"/>
        <v>15.496682070613357</v>
      </c>
      <c r="G796" s="29">
        <f t="shared" si="37"/>
        <v>10.871163970647121</v>
      </c>
      <c r="H796" s="31">
        <f t="shared" si="38"/>
        <v>6.4508748046601321</v>
      </c>
    </row>
    <row r="797" spans="1:8" x14ac:dyDescent="0.3">
      <c r="A797" s="5">
        <v>2.6468703269999998</v>
      </c>
      <c r="B797" s="11">
        <v>2.5736963560000001</v>
      </c>
      <c r="C797" s="17">
        <v>2.503684818</v>
      </c>
      <c r="D797">
        <v>2.4700000000000002</v>
      </c>
      <c r="F797" s="25">
        <f t="shared" si="36"/>
        <v>7.0059225279530857</v>
      </c>
      <c r="G797" s="29">
        <f t="shared" si="37"/>
        <v>6.6239129328876798</v>
      </c>
      <c r="H797" s="31">
        <f t="shared" si="38"/>
        <v>6.2684376678836928</v>
      </c>
    </row>
    <row r="798" spans="1:8" x14ac:dyDescent="0.3">
      <c r="A798" s="5">
        <v>4.7492904449999997</v>
      </c>
      <c r="B798" s="11">
        <v>4.1434796629999999</v>
      </c>
      <c r="C798" s="17">
        <v>2.5821739830000001</v>
      </c>
      <c r="D798">
        <v>2.4700000000000002</v>
      </c>
      <c r="F798" s="25">
        <f t="shared" si="36"/>
        <v>22.555759730968294</v>
      </c>
      <c r="G798" s="29">
        <f t="shared" si="37"/>
        <v>17.168423717694594</v>
      </c>
      <c r="H798" s="31">
        <f t="shared" si="38"/>
        <v>6.6676224784820848</v>
      </c>
    </row>
    <row r="799" spans="1:8" x14ac:dyDescent="0.3">
      <c r="A799" s="5">
        <v>1.0055848869999999</v>
      </c>
      <c r="B799" s="11">
        <v>1.6623622010000001</v>
      </c>
      <c r="C799" s="17">
        <v>2.45811811</v>
      </c>
      <c r="D799">
        <v>2.4700000000000002</v>
      </c>
      <c r="F799" s="25">
        <f t="shared" si="36"/>
        <v>1.0112009649628027</v>
      </c>
      <c r="G799" s="29">
        <f t="shared" si="37"/>
        <v>2.7634480873135647</v>
      </c>
      <c r="H799" s="31">
        <f t="shared" si="38"/>
        <v>6.0423446427099723</v>
      </c>
    </row>
    <row r="800" spans="1:8" x14ac:dyDescent="0.3">
      <c r="A800" s="5">
        <v>0.25666066500000001</v>
      </c>
      <c r="B800" s="11">
        <v>0.86792994800000001</v>
      </c>
      <c r="C800" s="17">
        <v>2.4183964969999998</v>
      </c>
      <c r="D800">
        <v>2.4700000000000002</v>
      </c>
      <c r="F800" s="25">
        <f t="shared" si="36"/>
        <v>6.5874696958242232E-2</v>
      </c>
      <c r="G800" s="29">
        <f t="shared" si="37"/>
        <v>0.7533023946352827</v>
      </c>
      <c r="H800" s="31">
        <f t="shared" si="38"/>
        <v>5.8486416167018698</v>
      </c>
    </row>
    <row r="801" spans="1:8" x14ac:dyDescent="0.3">
      <c r="A801" s="5">
        <v>3.8105410929999999</v>
      </c>
      <c r="B801" s="11">
        <v>3.2131006900000001</v>
      </c>
      <c r="C801" s="17">
        <v>2.5356550339999999</v>
      </c>
      <c r="D801">
        <v>2.4700000000000002</v>
      </c>
      <c r="F801" s="25">
        <f t="shared" si="36"/>
        <v>14.520223421441633</v>
      </c>
      <c r="G801" s="29">
        <f t="shared" si="37"/>
        <v>10.324016044078476</v>
      </c>
      <c r="H801" s="31">
        <f t="shared" si="38"/>
        <v>6.4295464514495411</v>
      </c>
    </row>
    <row r="802" spans="1:8" x14ac:dyDescent="0.3">
      <c r="A802" s="5">
        <v>0.62227240800000005</v>
      </c>
      <c r="B802" s="11">
        <v>1.3469971869999999</v>
      </c>
      <c r="C802" s="17">
        <v>2.4423498590000001</v>
      </c>
      <c r="D802">
        <v>2.4700000000000002</v>
      </c>
      <c r="F802" s="25">
        <f t="shared" si="36"/>
        <v>0.38722294975811855</v>
      </c>
      <c r="G802" s="29">
        <f t="shared" si="37"/>
        <v>1.8144014217859128</v>
      </c>
      <c r="H802" s="31">
        <f t="shared" si="38"/>
        <v>5.9650728337573202</v>
      </c>
    </row>
    <row r="803" spans="1:8" x14ac:dyDescent="0.3">
      <c r="A803" s="5">
        <v>1.0850856040000001</v>
      </c>
      <c r="B803" s="11">
        <v>1.7176935849999999</v>
      </c>
      <c r="C803" s="17">
        <v>2.4608846789999999</v>
      </c>
      <c r="D803">
        <v>2.4700000000000002</v>
      </c>
      <c r="F803" s="25">
        <f t="shared" si="36"/>
        <v>1.177410768008045</v>
      </c>
      <c r="G803" s="29">
        <f t="shared" si="37"/>
        <v>2.9504712519501521</v>
      </c>
      <c r="H803" s="31">
        <f t="shared" si="38"/>
        <v>6.0559534033369324</v>
      </c>
    </row>
    <row r="804" spans="1:8" x14ac:dyDescent="0.3">
      <c r="A804" s="5">
        <v>4.5483260599999999</v>
      </c>
      <c r="B804" s="11">
        <v>3.8386966199999999</v>
      </c>
      <c r="C804" s="17">
        <v>2.5669348310000002</v>
      </c>
      <c r="D804">
        <v>2.4700000000000002</v>
      </c>
      <c r="F804" s="25">
        <f t="shared" si="36"/>
        <v>20.687269948075123</v>
      </c>
      <c r="G804" s="29">
        <f t="shared" si="37"/>
        <v>14.735591740399423</v>
      </c>
      <c r="H804" s="31">
        <f t="shared" si="38"/>
        <v>6.5891544266009996</v>
      </c>
    </row>
    <row r="805" spans="1:8" x14ac:dyDescent="0.3">
      <c r="A805" s="5">
        <v>4.4645527510000003</v>
      </c>
      <c r="B805" s="11">
        <v>3.7421560309999999</v>
      </c>
      <c r="C805" s="17">
        <v>2.5621078019999999</v>
      </c>
      <c r="D805">
        <v>2.4700000000000002</v>
      </c>
      <c r="F805" s="25">
        <f t="shared" si="36"/>
        <v>19.93223126646167</v>
      </c>
      <c r="G805" s="29">
        <f t="shared" si="37"/>
        <v>14.003731760349673</v>
      </c>
      <c r="H805" s="31">
        <f t="shared" si="38"/>
        <v>6.5643963890692705</v>
      </c>
    </row>
    <row r="806" spans="1:8" x14ac:dyDescent="0.3">
      <c r="A806" s="5">
        <v>1.716666158</v>
      </c>
      <c r="B806" s="11">
        <v>2.0966163619999998</v>
      </c>
      <c r="C806" s="17">
        <v>2.4798308179999999</v>
      </c>
      <c r="D806">
        <v>2.4700000000000002</v>
      </c>
      <c r="F806" s="25">
        <f t="shared" si="36"/>
        <v>2.9469426980224811</v>
      </c>
      <c r="G806" s="29">
        <f t="shared" si="37"/>
        <v>4.3958001694061144</v>
      </c>
      <c r="H806" s="31">
        <f t="shared" si="38"/>
        <v>6.1495608859025488</v>
      </c>
    </row>
    <row r="807" spans="1:8" x14ac:dyDescent="0.3">
      <c r="A807" s="5">
        <v>2.7059236430000002</v>
      </c>
      <c r="B807" s="11">
        <v>2.6034186429999999</v>
      </c>
      <c r="C807" s="17">
        <v>2.505170932</v>
      </c>
      <c r="D807">
        <v>2.4700000000000002</v>
      </c>
      <c r="F807" s="25">
        <f t="shared" si="36"/>
        <v>7.3220227617463927</v>
      </c>
      <c r="G807" s="29">
        <f t="shared" si="37"/>
        <v>6.7777886307199608</v>
      </c>
      <c r="H807" s="31">
        <f t="shared" si="38"/>
        <v>6.2758813985377486</v>
      </c>
    </row>
    <row r="808" spans="1:8" x14ac:dyDescent="0.3">
      <c r="A808" s="5">
        <v>2.7582628859999998</v>
      </c>
      <c r="B808" s="11">
        <v>2.6298371899999999</v>
      </c>
      <c r="C808" s="17">
        <v>2.506491859</v>
      </c>
      <c r="D808">
        <v>2.4700000000000002</v>
      </c>
      <c r="F808" s="25">
        <f t="shared" si="36"/>
        <v>7.6080141482850481</v>
      </c>
      <c r="G808" s="29">
        <f t="shared" si="37"/>
        <v>6.916043645907096</v>
      </c>
      <c r="H808" s="31">
        <f t="shared" si="38"/>
        <v>6.2825014392332763</v>
      </c>
    </row>
    <row r="809" spans="1:8" x14ac:dyDescent="0.3">
      <c r="A809" s="5">
        <v>2.2688985869999998</v>
      </c>
      <c r="B809" s="11">
        <v>2.3838825379999999</v>
      </c>
      <c r="C809" s="17">
        <v>2.4941941270000001</v>
      </c>
      <c r="D809">
        <v>2.4700000000000002</v>
      </c>
      <c r="F809" s="25">
        <f t="shared" si="36"/>
        <v>5.1479007980905953</v>
      </c>
      <c r="G809" s="29">
        <f t="shared" si="37"/>
        <v>5.6828959549813209</v>
      </c>
      <c r="H809" s="31">
        <f t="shared" si="38"/>
        <v>6.2210043431612929</v>
      </c>
    </row>
    <row r="810" spans="1:8" x14ac:dyDescent="0.3">
      <c r="A810" s="5">
        <v>1.050294504</v>
      </c>
      <c r="B810" s="11">
        <v>1.6937829689999999</v>
      </c>
      <c r="C810" s="17">
        <v>2.4596891479999998</v>
      </c>
      <c r="D810">
        <v>2.4700000000000002</v>
      </c>
      <c r="F810" s="25">
        <f t="shared" si="36"/>
        <v>1.103118545132606</v>
      </c>
      <c r="G810" s="29">
        <f t="shared" si="37"/>
        <v>2.8689007460744547</v>
      </c>
      <c r="H810" s="31">
        <f t="shared" si="38"/>
        <v>6.0500707047889648</v>
      </c>
    </row>
    <row r="811" spans="1:8" x14ac:dyDescent="0.3">
      <c r="A811" s="5">
        <v>1.3174840539999999</v>
      </c>
      <c r="B811" s="11">
        <v>1.867398686</v>
      </c>
      <c r="C811" s="17">
        <v>2.468369934</v>
      </c>
      <c r="D811">
        <v>2.4700000000000002</v>
      </c>
      <c r="F811" s="25">
        <f t="shared" si="36"/>
        <v>1.7357642325442746</v>
      </c>
      <c r="G811" s="29">
        <f t="shared" si="37"/>
        <v>3.4871778524745265</v>
      </c>
      <c r="H811" s="31">
        <f t="shared" si="38"/>
        <v>6.0928501310751644</v>
      </c>
    </row>
    <row r="812" spans="1:8" x14ac:dyDescent="0.3">
      <c r="A812" s="5">
        <v>2.524491104</v>
      </c>
      <c r="B812" s="11">
        <v>2.5122781779999999</v>
      </c>
      <c r="C812" s="17">
        <v>2.5006139090000001</v>
      </c>
      <c r="D812">
        <v>2.4700000000000002</v>
      </c>
      <c r="F812" s="25">
        <f t="shared" si="36"/>
        <v>6.373055334175139</v>
      </c>
      <c r="G812" s="29">
        <f t="shared" si="37"/>
        <v>6.3115416436549987</v>
      </c>
      <c r="H812" s="31">
        <f t="shared" si="38"/>
        <v>6.2530699218842614</v>
      </c>
    </row>
    <row r="813" spans="1:8" x14ac:dyDescent="0.3">
      <c r="A813" s="5">
        <v>4.8489333779999999</v>
      </c>
      <c r="B813" s="11">
        <v>4.3776700020000003</v>
      </c>
      <c r="C813" s="17">
        <v>2.5938835</v>
      </c>
      <c r="D813">
        <v>2.4700000000000002</v>
      </c>
      <c r="F813" s="25">
        <f t="shared" si="36"/>
        <v>23.51215490428249</v>
      </c>
      <c r="G813" s="29">
        <f t="shared" si="37"/>
        <v>19.163994646410682</v>
      </c>
      <c r="H813" s="31">
        <f t="shared" si="38"/>
        <v>6.7282316115722498</v>
      </c>
    </row>
    <row r="814" spans="1:8" x14ac:dyDescent="0.3">
      <c r="A814" s="5">
        <v>1.6293832210000001</v>
      </c>
      <c r="B814" s="11">
        <v>2.0486723489999998</v>
      </c>
      <c r="C814" s="17">
        <v>2.477433617</v>
      </c>
      <c r="D814">
        <v>2.4700000000000002</v>
      </c>
      <c r="F814" s="25">
        <f t="shared" si="36"/>
        <v>2.6548896808763351</v>
      </c>
      <c r="G814" s="29">
        <f t="shared" si="37"/>
        <v>4.1970583935571772</v>
      </c>
      <c r="H814" s="31">
        <f t="shared" si="38"/>
        <v>6.1376773266417022</v>
      </c>
    </row>
    <row r="815" spans="1:8" x14ac:dyDescent="0.3">
      <c r="A815" s="5">
        <v>2.7584154789999999</v>
      </c>
      <c r="B815" s="11">
        <v>2.6299144970000001</v>
      </c>
      <c r="C815" s="17">
        <v>2.5064957250000002</v>
      </c>
      <c r="D815">
        <v>2.4700000000000002</v>
      </c>
      <c r="F815" s="25">
        <f t="shared" si="36"/>
        <v>7.6088559547867991</v>
      </c>
      <c r="G815" s="29">
        <f t="shared" si="37"/>
        <v>6.9164502615307635</v>
      </c>
      <c r="H815" s="31">
        <f t="shared" si="38"/>
        <v>6.2825208194432767</v>
      </c>
    </row>
    <row r="816" spans="1:8" x14ac:dyDescent="0.3">
      <c r="A816" s="5">
        <v>4.2635883659999996</v>
      </c>
      <c r="B816" s="11">
        <v>3.5481608109999998</v>
      </c>
      <c r="C816" s="17">
        <v>2.5524080410000001</v>
      </c>
      <c r="D816">
        <v>2.4700000000000002</v>
      </c>
      <c r="F816" s="25">
        <f t="shared" si="36"/>
        <v>18.178185754690546</v>
      </c>
      <c r="G816" s="29">
        <f t="shared" si="37"/>
        <v>12.589445140716176</v>
      </c>
      <c r="H816" s="31">
        <f t="shared" si="38"/>
        <v>6.5147868077614577</v>
      </c>
    </row>
    <row r="817" spans="1:8" x14ac:dyDescent="0.3">
      <c r="A817" s="5">
        <v>4.6586504719999997</v>
      </c>
      <c r="B817" s="11">
        <v>3.9888018999999999</v>
      </c>
      <c r="C817" s="17">
        <v>2.5744400949999999</v>
      </c>
      <c r="D817">
        <v>2.4700000000000002</v>
      </c>
      <c r="F817" s="25">
        <f t="shared" si="36"/>
        <v>21.703024220265821</v>
      </c>
      <c r="G817" s="29">
        <f t="shared" si="37"/>
        <v>15.910540597443608</v>
      </c>
      <c r="H817" s="31">
        <f t="shared" si="38"/>
        <v>6.6277418027436088</v>
      </c>
    </row>
    <row r="818" spans="1:8" x14ac:dyDescent="0.3">
      <c r="A818" s="5">
        <v>2.4802392649999998</v>
      </c>
      <c r="B818" s="11">
        <v>2.490093329</v>
      </c>
      <c r="C818" s="17">
        <v>2.499504666</v>
      </c>
      <c r="D818">
        <v>2.4700000000000002</v>
      </c>
      <c r="F818" s="25">
        <f t="shared" si="36"/>
        <v>6.1515868116477392</v>
      </c>
      <c r="G818" s="29">
        <f t="shared" si="37"/>
        <v>6.2005647871303022</v>
      </c>
      <c r="H818" s="31">
        <f t="shared" si="38"/>
        <v>6.2475235753557712</v>
      </c>
    </row>
    <row r="819" spans="1:8" x14ac:dyDescent="0.3">
      <c r="A819" s="5">
        <v>3.2813501390000002</v>
      </c>
      <c r="B819" s="11">
        <v>2.9023047499999999</v>
      </c>
      <c r="C819" s="17">
        <v>2.5201152370000002</v>
      </c>
      <c r="D819">
        <v>2.4700000000000002</v>
      </c>
      <c r="F819" s="25">
        <f t="shared" si="36"/>
        <v>10.76725873471532</v>
      </c>
      <c r="G819" s="29">
        <f t="shared" si="37"/>
        <v>8.4233728618725614</v>
      </c>
      <c r="H819" s="31">
        <f t="shared" si="38"/>
        <v>6.3509808077595666</v>
      </c>
    </row>
    <row r="820" spans="1:8" x14ac:dyDescent="0.3">
      <c r="A820" s="5">
        <v>1.7201757870000001</v>
      </c>
      <c r="B820" s="11">
        <v>2.0985240279999999</v>
      </c>
      <c r="C820" s="17">
        <v>2.4799262010000001</v>
      </c>
      <c r="D820">
        <v>2.4700000000000002</v>
      </c>
      <c r="F820" s="25">
        <f t="shared" si="36"/>
        <v>2.9590047381810698</v>
      </c>
      <c r="G820" s="29">
        <f t="shared" si="37"/>
        <v>4.4038030960933447</v>
      </c>
      <c r="H820" s="31">
        <f t="shared" si="38"/>
        <v>6.150033962406293</v>
      </c>
    </row>
    <row r="821" spans="1:8" x14ac:dyDescent="0.3">
      <c r="A821" s="5">
        <v>0.45640430900000001</v>
      </c>
      <c r="B821" s="11">
        <v>1.1670900399999999</v>
      </c>
      <c r="C821" s="17">
        <v>2.4333545019999998</v>
      </c>
      <c r="D821">
        <v>2.4700000000000002</v>
      </c>
      <c r="F821" s="25">
        <f t="shared" si="36"/>
        <v>0.2083048932737675</v>
      </c>
      <c r="G821" s="29">
        <f t="shared" si="37"/>
        <v>1.3620991614672016</v>
      </c>
      <c r="H821" s="31">
        <f t="shared" si="38"/>
        <v>5.9212141324036667</v>
      </c>
    </row>
    <row r="822" spans="1:8" x14ac:dyDescent="0.3">
      <c r="A822" s="5">
        <v>4.8500015259999998</v>
      </c>
      <c r="B822" s="11">
        <v>4.3807986630000002</v>
      </c>
      <c r="C822" s="17">
        <v>2.5940399329999999</v>
      </c>
      <c r="D822">
        <v>2.4700000000000002</v>
      </c>
      <c r="F822" s="25">
        <f t="shared" si="36"/>
        <v>23.522514802202327</v>
      </c>
      <c r="G822" s="29">
        <f t="shared" si="37"/>
        <v>19.191396925742588</v>
      </c>
      <c r="H822" s="31">
        <f t="shared" si="38"/>
        <v>6.7290431739986438</v>
      </c>
    </row>
    <row r="823" spans="1:8" x14ac:dyDescent="0.3">
      <c r="A823" s="5">
        <v>4.0797143470000004</v>
      </c>
      <c r="B823" s="11">
        <v>3.4000109460000001</v>
      </c>
      <c r="C823" s="17">
        <v>2.5450005469999999</v>
      </c>
      <c r="D823">
        <v>2.4700000000000002</v>
      </c>
      <c r="F823" s="25">
        <f t="shared" si="36"/>
        <v>16.644069153117638</v>
      </c>
      <c r="G823" s="29">
        <f t="shared" si="37"/>
        <v>11.560074432919816</v>
      </c>
      <c r="H823" s="31">
        <f t="shared" si="38"/>
        <v>6.477027784230299</v>
      </c>
    </row>
    <row r="824" spans="1:8" x14ac:dyDescent="0.3">
      <c r="A824" s="5">
        <v>4.0118106630000003</v>
      </c>
      <c r="B824" s="11">
        <v>3.3500887819999998</v>
      </c>
      <c r="C824" s="17">
        <v>2.542504439</v>
      </c>
      <c r="D824">
        <v>2.4700000000000002</v>
      </c>
      <c r="F824" s="25">
        <f t="shared" si="36"/>
        <v>16.094624795760502</v>
      </c>
      <c r="G824" s="29">
        <f t="shared" si="37"/>
        <v>11.223094847282242</v>
      </c>
      <c r="H824" s="31">
        <f t="shared" si="38"/>
        <v>6.4643288223347044</v>
      </c>
    </row>
    <row r="825" spans="1:8" x14ac:dyDescent="0.3">
      <c r="A825" s="5">
        <v>4.298074282</v>
      </c>
      <c r="B825" s="11">
        <v>3.5785902300000001</v>
      </c>
      <c r="C825" s="17">
        <v>2.5539295119999998</v>
      </c>
      <c r="D825">
        <v>2.4700000000000002</v>
      </c>
      <c r="F825" s="25">
        <f t="shared" si="36"/>
        <v>18.473442533589814</v>
      </c>
      <c r="G825" s="29">
        <f t="shared" si="37"/>
        <v>12.806308034251453</v>
      </c>
      <c r="H825" s="31">
        <f t="shared" si="38"/>
        <v>6.5225559522645575</v>
      </c>
    </row>
    <row r="826" spans="1:8" x14ac:dyDescent="0.3">
      <c r="A826" s="5">
        <v>1.851863155</v>
      </c>
      <c r="B826" s="11">
        <v>2.1691326489999998</v>
      </c>
      <c r="C826" s="17">
        <v>2.4834566320000002</v>
      </c>
      <c r="D826">
        <v>2.4700000000000002</v>
      </c>
      <c r="F826" s="25">
        <f t="shared" si="36"/>
        <v>3.4293971448465541</v>
      </c>
      <c r="G826" s="29">
        <f t="shared" si="37"/>
        <v>4.7051364489577567</v>
      </c>
      <c r="H826" s="31">
        <f t="shared" si="38"/>
        <v>6.1675568430247845</v>
      </c>
    </row>
    <row r="827" spans="1:8" x14ac:dyDescent="0.3">
      <c r="A827" s="5">
        <v>0.47318948900000002</v>
      </c>
      <c r="B827" s="11">
        <v>1.1872762750000001</v>
      </c>
      <c r="C827" s="17">
        <v>2.4343638140000001</v>
      </c>
      <c r="D827">
        <v>2.4700000000000002</v>
      </c>
      <c r="F827" s="25">
        <f t="shared" si="36"/>
        <v>0.22390829250008115</v>
      </c>
      <c r="G827" s="29">
        <f t="shared" si="37"/>
        <v>1.409624953177876</v>
      </c>
      <c r="H827" s="31">
        <f t="shared" si="38"/>
        <v>5.9261271789126271</v>
      </c>
    </row>
    <row r="828" spans="1:8" x14ac:dyDescent="0.3">
      <c r="A828" s="5">
        <v>3.696859645</v>
      </c>
      <c r="B828" s="11">
        <v>3.1414097700000001</v>
      </c>
      <c r="C828" s="17">
        <v>2.532070488</v>
      </c>
      <c r="D828">
        <v>2.4700000000000002</v>
      </c>
      <c r="F828" s="25">
        <f t="shared" si="36"/>
        <v>13.666771234829525</v>
      </c>
      <c r="G828" s="29">
        <f t="shared" si="37"/>
        <v>9.868455343051453</v>
      </c>
      <c r="H828" s="31">
        <f t="shared" si="38"/>
        <v>6.4113809562005581</v>
      </c>
    </row>
    <row r="829" spans="1:8" x14ac:dyDescent="0.3">
      <c r="A829" s="5">
        <v>0.45182653299999997</v>
      </c>
      <c r="B829" s="11">
        <v>1.1614921</v>
      </c>
      <c r="C829" s="17">
        <v>2.4330746049999998</v>
      </c>
      <c r="D829">
        <v>2.4700000000000002</v>
      </c>
      <c r="F829" s="25">
        <f t="shared" si="36"/>
        <v>0.20414721592280008</v>
      </c>
      <c r="G829" s="29">
        <f t="shared" si="37"/>
        <v>1.3490638983624101</v>
      </c>
      <c r="H829" s="31">
        <f t="shared" si="38"/>
        <v>5.9198520334959053</v>
      </c>
    </row>
    <row r="830" spans="1:8" x14ac:dyDescent="0.3">
      <c r="A830" s="5">
        <v>2.3418378249999998</v>
      </c>
      <c r="B830" s="11">
        <v>2.420626124</v>
      </c>
      <c r="C830" s="17">
        <v>2.4960313059999999</v>
      </c>
      <c r="D830">
        <v>2.4700000000000002</v>
      </c>
      <c r="F830" s="25">
        <f t="shared" si="36"/>
        <v>5.4842043986007294</v>
      </c>
      <c r="G830" s="29">
        <f t="shared" si="37"/>
        <v>5.8594308321912631</v>
      </c>
      <c r="H830" s="31">
        <f t="shared" si="38"/>
        <v>6.2301722805320647</v>
      </c>
    </row>
    <row r="831" spans="1:8" x14ac:dyDescent="0.3">
      <c r="A831" s="5">
        <v>3.407544176</v>
      </c>
      <c r="B831" s="11">
        <v>2.9719220210000001</v>
      </c>
      <c r="C831" s="17">
        <v>2.5235961009999999</v>
      </c>
      <c r="D831">
        <v>2.4700000000000002</v>
      </c>
      <c r="F831" s="25">
        <f t="shared" si="36"/>
        <v>11.611357311391519</v>
      </c>
      <c r="G831" s="29">
        <f t="shared" si="37"/>
        <v>8.8323204989047248</v>
      </c>
      <c r="H831" s="31">
        <f t="shared" si="38"/>
        <v>6.3685372809824017</v>
      </c>
    </row>
    <row r="832" spans="1:8" x14ac:dyDescent="0.3">
      <c r="A832" s="5">
        <v>2.902462844</v>
      </c>
      <c r="B832" s="11">
        <v>2.7031538319999999</v>
      </c>
      <c r="C832" s="17">
        <v>2.5101576919999999</v>
      </c>
      <c r="D832">
        <v>2.4700000000000002</v>
      </c>
      <c r="F832" s="25">
        <f t="shared" si="36"/>
        <v>8.4242905608005678</v>
      </c>
      <c r="G832" s="29">
        <f t="shared" si="37"/>
        <v>7.3070406394562841</v>
      </c>
      <c r="H832" s="31">
        <f t="shared" si="38"/>
        <v>6.3008916387067666</v>
      </c>
    </row>
    <row r="833" spans="1:8" x14ac:dyDescent="0.3">
      <c r="A833" s="5">
        <v>0.147709586</v>
      </c>
      <c r="B833" s="11">
        <v>0.612434696</v>
      </c>
      <c r="C833" s="17">
        <v>2.405621735</v>
      </c>
      <c r="D833">
        <v>2.4700000000000002</v>
      </c>
      <c r="F833" s="25">
        <f t="shared" si="36"/>
        <v>2.1818121796291397E-2</v>
      </c>
      <c r="G833" s="29">
        <f t="shared" si="37"/>
        <v>0.37507625686461243</v>
      </c>
      <c r="H833" s="31">
        <f t="shared" si="38"/>
        <v>5.7870159319044099</v>
      </c>
    </row>
    <row r="834" spans="1:8" x14ac:dyDescent="0.3">
      <c r="A834" s="5">
        <v>2.3021637620000002</v>
      </c>
      <c r="B834" s="11">
        <v>2.4006558939999998</v>
      </c>
      <c r="C834" s="17">
        <v>2.4950327950000002</v>
      </c>
      <c r="D834">
        <v>2.4700000000000002</v>
      </c>
      <c r="F834" s="25">
        <f t="shared" si="36"/>
        <v>5.2999579870659934</v>
      </c>
      <c r="G834" s="29">
        <f t="shared" si="37"/>
        <v>5.7631487213969379</v>
      </c>
      <c r="H834" s="31">
        <f t="shared" si="38"/>
        <v>6.2251886481255134</v>
      </c>
    </row>
    <row r="835" spans="1:8" x14ac:dyDescent="0.3">
      <c r="A835" s="5">
        <v>3.4240241710000001</v>
      </c>
      <c r="B835" s="11">
        <v>2.9811772670000001</v>
      </c>
      <c r="C835" s="17">
        <v>2.524058863</v>
      </c>
      <c r="D835">
        <v>2.4700000000000002</v>
      </c>
      <c r="F835" s="25">
        <f t="shared" ref="F835:F898" si="39">POWER(A835,2)</f>
        <v>11.723941523592238</v>
      </c>
      <c r="G835" s="29">
        <f t="shared" ref="G835:G898" si="40">POWER(B835,2)</f>
        <v>8.8874178972775901</v>
      </c>
      <c r="H835" s="31">
        <f t="shared" ref="H835:H898" si="41">POWER(C835,2)</f>
        <v>6.3708731438888533</v>
      </c>
    </row>
    <row r="836" spans="1:8" x14ac:dyDescent="0.3">
      <c r="A836" s="5">
        <v>2.0374156929999998</v>
      </c>
      <c r="B836" s="11">
        <v>2.2659756450000001</v>
      </c>
      <c r="C836" s="17">
        <v>2.4882987820000002</v>
      </c>
      <c r="D836">
        <v>2.4700000000000002</v>
      </c>
      <c r="F836" s="25">
        <f t="shared" si="39"/>
        <v>4.1510627060826693</v>
      </c>
      <c r="G836" s="29">
        <f t="shared" si="40"/>
        <v>5.1346456237331664</v>
      </c>
      <c r="H836" s="31">
        <f t="shared" si="41"/>
        <v>6.1916308285026842</v>
      </c>
    </row>
    <row r="837" spans="1:8" x14ac:dyDescent="0.3">
      <c r="A837" s="5">
        <v>3.5583056119999998</v>
      </c>
      <c r="B837" s="11">
        <v>3.0582433</v>
      </c>
      <c r="C837" s="17">
        <v>2.527912165</v>
      </c>
      <c r="D837">
        <v>2.4700000000000002</v>
      </c>
      <c r="F837" s="25">
        <f t="shared" si="39"/>
        <v>12.661538828390693</v>
      </c>
      <c r="G837" s="29">
        <f t="shared" si="40"/>
        <v>9.3528520819948895</v>
      </c>
      <c r="H837" s="31">
        <f t="shared" si="41"/>
        <v>6.3903399139549872</v>
      </c>
    </row>
    <row r="838" spans="1:8" x14ac:dyDescent="0.3">
      <c r="A838" s="5">
        <v>4.5178075499999997</v>
      </c>
      <c r="B838" s="11">
        <v>3.8021144699999998</v>
      </c>
      <c r="C838" s="17">
        <v>2.5651057229999998</v>
      </c>
      <c r="D838">
        <v>2.4700000000000002</v>
      </c>
      <c r="F838" s="25">
        <f t="shared" si="39"/>
        <v>20.410585058837</v>
      </c>
      <c r="G838" s="29">
        <f t="shared" si="40"/>
        <v>14.456074442983379</v>
      </c>
      <c r="H838" s="31">
        <f t="shared" si="41"/>
        <v>6.5797673701673522</v>
      </c>
    </row>
    <row r="839" spans="1:8" x14ac:dyDescent="0.3">
      <c r="A839" s="5">
        <v>4.7581408119999997</v>
      </c>
      <c r="B839" s="11">
        <v>4.1608464649999997</v>
      </c>
      <c r="C839" s="17">
        <v>2.5830423229999999</v>
      </c>
      <c r="D839">
        <v>2.4700000000000002</v>
      </c>
      <c r="F839" s="25">
        <f t="shared" si="39"/>
        <v>22.639903986820016</v>
      </c>
      <c r="G839" s="29">
        <f t="shared" si="40"/>
        <v>17.312643305302995</v>
      </c>
      <c r="H839" s="31">
        <f t="shared" si="41"/>
        <v>6.6721076424092356</v>
      </c>
    </row>
    <row r="840" spans="1:8" x14ac:dyDescent="0.3">
      <c r="A840" s="5">
        <v>3.1254005550000001</v>
      </c>
      <c r="B840" s="11">
        <v>2.8188506530000002</v>
      </c>
      <c r="C840" s="17">
        <v>2.515942533</v>
      </c>
      <c r="D840">
        <v>2.4700000000000002</v>
      </c>
      <c r="F840" s="25">
        <f t="shared" si="39"/>
        <v>9.7681286291943081</v>
      </c>
      <c r="G840" s="29">
        <f t="shared" si="40"/>
        <v>7.9459190039185277</v>
      </c>
      <c r="H840" s="31">
        <f t="shared" si="41"/>
        <v>6.3299668293584563</v>
      </c>
    </row>
    <row r="841" spans="1:8" x14ac:dyDescent="0.3">
      <c r="A841" s="5">
        <v>2.9250465409999999</v>
      </c>
      <c r="B841" s="11">
        <v>2.7147248780000002</v>
      </c>
      <c r="C841" s="17">
        <v>2.5107362439999998</v>
      </c>
      <c r="D841">
        <v>2.4700000000000002</v>
      </c>
      <c r="F841" s="25">
        <f t="shared" si="39"/>
        <v>8.5558972670160642</v>
      </c>
      <c r="G841" s="29">
        <f t="shared" si="40"/>
        <v>7.3697311632321156</v>
      </c>
      <c r="H841" s="31">
        <f t="shared" si="41"/>
        <v>6.3037964869352265</v>
      </c>
    </row>
    <row r="842" spans="1:8" x14ac:dyDescent="0.3">
      <c r="A842" s="5">
        <v>4.8249763479999999</v>
      </c>
      <c r="B842" s="11">
        <v>4.3118498699999996</v>
      </c>
      <c r="C842" s="17">
        <v>2.590592494</v>
      </c>
      <c r="D842">
        <v>2.4700000000000002</v>
      </c>
      <c r="F842" s="25">
        <f t="shared" si="39"/>
        <v>23.280396758759416</v>
      </c>
      <c r="G842" s="29">
        <f t="shared" si="40"/>
        <v>18.592049301419014</v>
      </c>
      <c r="H842" s="31">
        <f t="shared" si="41"/>
        <v>6.71116946996914</v>
      </c>
    </row>
    <row r="843" spans="1:8" x14ac:dyDescent="0.3">
      <c r="A843" s="5">
        <v>4.7186193430000003</v>
      </c>
      <c r="B843" s="11">
        <v>4.0868226910000001</v>
      </c>
      <c r="C843" s="17">
        <v>2.579341135</v>
      </c>
      <c r="D843">
        <v>2.4700000000000002</v>
      </c>
      <c r="F843" s="25">
        <f t="shared" si="39"/>
        <v>22.265368504133754</v>
      </c>
      <c r="G843" s="29">
        <f t="shared" si="40"/>
        <v>16.70211970767248</v>
      </c>
      <c r="H843" s="31">
        <f t="shared" si="41"/>
        <v>6.6530006907030881</v>
      </c>
    </row>
    <row r="844" spans="1:8" x14ac:dyDescent="0.3">
      <c r="A844" s="5">
        <v>2.288583026</v>
      </c>
      <c r="B844" s="11">
        <v>2.393811946</v>
      </c>
      <c r="C844" s="17">
        <v>2.494690597</v>
      </c>
      <c r="D844">
        <v>2.4700000000000002</v>
      </c>
      <c r="F844" s="25">
        <f t="shared" si="39"/>
        <v>5.2376122668953169</v>
      </c>
      <c r="G844" s="29">
        <f t="shared" si="40"/>
        <v>5.7303356328123067</v>
      </c>
      <c r="H844" s="31">
        <f t="shared" si="41"/>
        <v>6.2234811747602166</v>
      </c>
    </row>
    <row r="845" spans="1:8" x14ac:dyDescent="0.3">
      <c r="A845" s="5">
        <v>3.2331308939999999</v>
      </c>
      <c r="B845" s="11">
        <v>2.8762284</v>
      </c>
      <c r="C845" s="17">
        <v>2.51881142</v>
      </c>
      <c r="D845">
        <v>2.4700000000000002</v>
      </c>
      <c r="F845" s="25">
        <f t="shared" si="39"/>
        <v>10.453135377737238</v>
      </c>
      <c r="G845" s="29">
        <f t="shared" si="40"/>
        <v>8.2726898089665593</v>
      </c>
      <c r="H845" s="31">
        <f t="shared" si="41"/>
        <v>6.3444109695224169</v>
      </c>
    </row>
    <row r="846" spans="1:8" x14ac:dyDescent="0.3">
      <c r="A846" s="5">
        <v>0.71184423399999996</v>
      </c>
      <c r="B846" s="11">
        <v>1.4302637</v>
      </c>
      <c r="C846" s="17">
        <v>2.4465131850000001</v>
      </c>
      <c r="D846">
        <v>2.4700000000000002</v>
      </c>
      <c r="F846" s="25">
        <f t="shared" si="39"/>
        <v>0.50672221347904667</v>
      </c>
      <c r="G846" s="29">
        <f t="shared" si="40"/>
        <v>2.0456542515376901</v>
      </c>
      <c r="H846" s="31">
        <f t="shared" si="41"/>
        <v>5.985426764378845</v>
      </c>
    </row>
    <row r="847" spans="1:8" x14ac:dyDescent="0.3">
      <c r="A847" s="5">
        <v>1.008178961</v>
      </c>
      <c r="B847" s="11">
        <v>1.6642084749999999</v>
      </c>
      <c r="C847" s="17">
        <v>2.4582104239999998</v>
      </c>
      <c r="D847">
        <v>2.4700000000000002</v>
      </c>
      <c r="F847" s="25">
        <f t="shared" si="39"/>
        <v>1.0164248174030397</v>
      </c>
      <c r="G847" s="29">
        <f t="shared" si="40"/>
        <v>2.7695898482618255</v>
      </c>
      <c r="H847" s="31">
        <f t="shared" si="41"/>
        <v>6.0427984886622585</v>
      </c>
    </row>
    <row r="848" spans="1:8" x14ac:dyDescent="0.3">
      <c r="A848" s="5">
        <v>3.4131901</v>
      </c>
      <c r="B848" s="11">
        <v>2.9750882000000001</v>
      </c>
      <c r="C848" s="17">
        <v>2.52375441</v>
      </c>
      <c r="D848">
        <v>2.4700000000000002</v>
      </c>
      <c r="F848" s="25">
        <f t="shared" si="39"/>
        <v>11.649866658738009</v>
      </c>
      <c r="G848" s="29">
        <f t="shared" si="40"/>
        <v>8.8511497977792413</v>
      </c>
      <c r="H848" s="31">
        <f t="shared" si="41"/>
        <v>6.3693363219944485</v>
      </c>
    </row>
    <row r="849" spans="1:8" x14ac:dyDescent="0.3">
      <c r="A849" s="5">
        <v>4.3408001949999999</v>
      </c>
      <c r="B849" s="11">
        <v>3.617737156</v>
      </c>
      <c r="C849" s="17">
        <v>2.555886858</v>
      </c>
      <c r="D849">
        <v>2.4700000000000002</v>
      </c>
      <c r="F849" s="25">
        <f t="shared" si="39"/>
        <v>18.842546332912036</v>
      </c>
      <c r="G849" s="29">
        <f t="shared" si="40"/>
        <v>13.088022129902969</v>
      </c>
      <c r="H849" s="31">
        <f t="shared" si="41"/>
        <v>6.5325576308971121</v>
      </c>
    </row>
    <row r="850" spans="1:8" x14ac:dyDescent="0.3">
      <c r="A850" s="5">
        <v>0.55619983500000003</v>
      </c>
      <c r="B850" s="11">
        <v>1.280040187</v>
      </c>
      <c r="C850" s="17">
        <v>2.4390020090000002</v>
      </c>
      <c r="D850">
        <v>2.4700000000000002</v>
      </c>
      <c r="F850" s="25">
        <f t="shared" si="39"/>
        <v>0.30935825645402726</v>
      </c>
      <c r="G850" s="29">
        <f t="shared" si="40"/>
        <v>1.638502880334995</v>
      </c>
      <c r="H850" s="31">
        <f t="shared" si="41"/>
        <v>5.9487307999060368</v>
      </c>
    </row>
    <row r="851" spans="1:8" x14ac:dyDescent="0.3">
      <c r="A851" s="5">
        <v>2.139652699</v>
      </c>
      <c r="B851" s="11">
        <v>2.3183545809999999</v>
      </c>
      <c r="C851" s="17">
        <v>2.490917729</v>
      </c>
      <c r="D851">
        <v>2.4700000000000002</v>
      </c>
      <c r="F851" s="25">
        <f t="shared" si="39"/>
        <v>4.5781136723379845</v>
      </c>
      <c r="G851" s="29">
        <f t="shared" si="40"/>
        <v>5.3747679632436851</v>
      </c>
      <c r="H851" s="31">
        <f t="shared" si="41"/>
        <v>6.2046711326465172</v>
      </c>
    </row>
    <row r="852" spans="1:8" x14ac:dyDescent="0.3">
      <c r="A852" s="5">
        <v>2.526932585</v>
      </c>
      <c r="B852" s="11">
        <v>2.513502586</v>
      </c>
      <c r="C852" s="17">
        <v>2.5006751290000002</v>
      </c>
      <c r="D852">
        <v>2.4700000000000002</v>
      </c>
      <c r="F852" s="25">
        <f t="shared" si="39"/>
        <v>6.3853882891347817</v>
      </c>
      <c r="G852" s="29">
        <f t="shared" si="40"/>
        <v>6.3176952498286871</v>
      </c>
      <c r="H852" s="31">
        <f t="shared" si="41"/>
        <v>6.2533761007991675</v>
      </c>
    </row>
    <row r="853" spans="1:8" x14ac:dyDescent="0.3">
      <c r="A853" s="5">
        <v>0.96942045399999999</v>
      </c>
      <c r="B853" s="11">
        <v>1.6363279150000001</v>
      </c>
      <c r="C853" s="17">
        <v>2.4568163959999998</v>
      </c>
      <c r="D853">
        <v>2.4700000000000002</v>
      </c>
      <c r="F853" s="25">
        <f t="shared" si="39"/>
        <v>0.93977601663356614</v>
      </c>
      <c r="G853" s="29">
        <f t="shared" si="40"/>
        <v>2.6775690454082475</v>
      </c>
      <c r="H853" s="31">
        <f t="shared" si="41"/>
        <v>6.0359468036544275</v>
      </c>
    </row>
    <row r="854" spans="1:8" x14ac:dyDescent="0.3">
      <c r="A854" s="5">
        <v>4.2771691030000003</v>
      </c>
      <c r="B854" s="11">
        <v>3.5600274440000002</v>
      </c>
      <c r="C854" s="17">
        <v>2.5530013720000002</v>
      </c>
      <c r="D854">
        <v>2.4700000000000002</v>
      </c>
      <c r="F854" s="25">
        <f t="shared" si="39"/>
        <v>18.294175535657828</v>
      </c>
      <c r="G854" s="29">
        <f t="shared" si="40"/>
        <v>12.673795402033175</v>
      </c>
      <c r="H854" s="31">
        <f t="shared" si="41"/>
        <v>6.5178160054338834</v>
      </c>
    </row>
    <row r="855" spans="1:8" x14ac:dyDescent="0.3">
      <c r="A855" s="5">
        <v>3.6022522659999998</v>
      </c>
      <c r="B855" s="11">
        <v>3.0841798159999998</v>
      </c>
      <c r="C855" s="17">
        <v>2.529208991</v>
      </c>
      <c r="D855">
        <v>2.4700000000000002</v>
      </c>
      <c r="F855" s="25">
        <f t="shared" si="39"/>
        <v>12.976221387902134</v>
      </c>
      <c r="G855" s="29">
        <f t="shared" si="40"/>
        <v>9.5121651374217926</v>
      </c>
      <c r="H855" s="31">
        <f t="shared" si="41"/>
        <v>6.396898120155238</v>
      </c>
    </row>
    <row r="856" spans="1:8" x14ac:dyDescent="0.3">
      <c r="A856" s="5">
        <v>4.9217200229999998</v>
      </c>
      <c r="B856" s="11">
        <v>4.653083187</v>
      </c>
      <c r="C856" s="17">
        <v>2.607654159</v>
      </c>
      <c r="D856">
        <v>2.4700000000000002</v>
      </c>
      <c r="F856" s="25">
        <f t="shared" si="39"/>
        <v>24.22332798479912</v>
      </c>
      <c r="G856" s="29">
        <f t="shared" si="40"/>
        <v>21.651183145142078</v>
      </c>
      <c r="H856" s="31">
        <f t="shared" si="41"/>
        <v>6.799860212949997</v>
      </c>
    </row>
    <row r="857" spans="1:8" x14ac:dyDescent="0.3">
      <c r="A857" s="5">
        <v>4.4636371959999996</v>
      </c>
      <c r="B857" s="11">
        <v>3.741164682</v>
      </c>
      <c r="C857" s="17">
        <v>2.5620582340000002</v>
      </c>
      <c r="D857">
        <v>2.4700000000000002</v>
      </c>
      <c r="F857" s="25">
        <f t="shared" si="39"/>
        <v>19.924057017514738</v>
      </c>
      <c r="G857" s="29">
        <f t="shared" si="40"/>
        <v>13.996313177844161</v>
      </c>
      <c r="H857" s="31">
        <f t="shared" si="41"/>
        <v>6.5641423944071997</v>
      </c>
    </row>
    <row r="858" spans="1:8" x14ac:dyDescent="0.3">
      <c r="A858" s="5">
        <v>3.6848048339999999</v>
      </c>
      <c r="B858" s="11">
        <v>3.134004209</v>
      </c>
      <c r="C858" s="17">
        <v>2.5317002099999999</v>
      </c>
      <c r="D858">
        <v>2.4700000000000002</v>
      </c>
      <c r="F858" s="25">
        <f t="shared" si="39"/>
        <v>13.577786664669768</v>
      </c>
      <c r="G858" s="29">
        <f t="shared" si="40"/>
        <v>9.8219823820297147</v>
      </c>
      <c r="H858" s="31">
        <f t="shared" si="41"/>
        <v>6.4095059533140439</v>
      </c>
    </row>
    <row r="859" spans="1:8" x14ac:dyDescent="0.3">
      <c r="A859" s="5">
        <v>4.9385052030000001</v>
      </c>
      <c r="B859" s="11">
        <v>4.747652446</v>
      </c>
      <c r="C859" s="17">
        <v>2.6123826220000002</v>
      </c>
      <c r="D859">
        <v>2.4700000000000002</v>
      </c>
      <c r="F859" s="25">
        <f t="shared" si="39"/>
        <v>24.388833640058071</v>
      </c>
      <c r="G859" s="29">
        <f t="shared" si="40"/>
        <v>22.540203748009784</v>
      </c>
      <c r="H859" s="31">
        <f t="shared" si="41"/>
        <v>6.8245429637275956</v>
      </c>
    </row>
    <row r="860" spans="1:8" x14ac:dyDescent="0.3">
      <c r="A860" s="5">
        <v>4.5504623549999996</v>
      </c>
      <c r="B860" s="11">
        <v>3.84132506</v>
      </c>
      <c r="C860" s="17">
        <v>2.5670662530000001</v>
      </c>
      <c r="D860">
        <v>2.4700000000000002</v>
      </c>
      <c r="F860" s="25">
        <f t="shared" si="39"/>
        <v>20.706707644272143</v>
      </c>
      <c r="G860" s="29">
        <f t="shared" si="40"/>
        <v>14.755778216584003</v>
      </c>
      <c r="H860" s="31">
        <f t="shared" si="41"/>
        <v>6.5898291472914607</v>
      </c>
    </row>
    <row r="861" spans="1:8" x14ac:dyDescent="0.3">
      <c r="A861" s="5">
        <v>2.7214880830000001</v>
      </c>
      <c r="B861" s="11">
        <v>2.611266445</v>
      </c>
      <c r="C861" s="17">
        <v>2.505563322</v>
      </c>
      <c r="D861">
        <v>2.4700000000000002</v>
      </c>
      <c r="F861" s="25">
        <f t="shared" si="39"/>
        <v>7.4064973859110159</v>
      </c>
      <c r="G861" s="29">
        <f t="shared" si="40"/>
        <v>6.8187124467829383</v>
      </c>
      <c r="H861" s="31">
        <f t="shared" si="41"/>
        <v>6.2778475605516757</v>
      </c>
    </row>
    <row r="862" spans="1:8" x14ac:dyDescent="0.3">
      <c r="A862" s="5">
        <v>3.3086642049999999</v>
      </c>
      <c r="B862" s="11">
        <v>2.9171965879999999</v>
      </c>
      <c r="C862" s="17">
        <v>2.5208598289999999</v>
      </c>
      <c r="D862">
        <v>2.4700000000000002</v>
      </c>
      <c r="F862" s="25">
        <f t="shared" si="39"/>
        <v>10.947258821448282</v>
      </c>
      <c r="G862" s="29">
        <f t="shared" si="40"/>
        <v>8.5100359330388411</v>
      </c>
      <c r="H862" s="31">
        <f t="shared" si="41"/>
        <v>6.3547342774659086</v>
      </c>
    </row>
    <row r="863" spans="1:8" x14ac:dyDescent="0.3">
      <c r="A863" s="5">
        <v>0.38392284900000001</v>
      </c>
      <c r="B863" s="11">
        <v>1.0729618860000001</v>
      </c>
      <c r="C863" s="17">
        <v>2.4286480940000001</v>
      </c>
      <c r="D863">
        <v>2.4700000000000002</v>
      </c>
      <c r="F863" s="25">
        <f t="shared" si="39"/>
        <v>0.14739675398427682</v>
      </c>
      <c r="G863" s="29">
        <f t="shared" si="40"/>
        <v>1.1512472088086771</v>
      </c>
      <c r="H863" s="31">
        <f t="shared" si="41"/>
        <v>5.8983315644898333</v>
      </c>
    </row>
    <row r="864" spans="1:8" x14ac:dyDescent="0.3">
      <c r="A864" s="5">
        <v>2.7323221530000001</v>
      </c>
      <c r="B864" s="11">
        <v>2.6167336450000001</v>
      </c>
      <c r="C864" s="17">
        <v>2.505836682</v>
      </c>
      <c r="D864">
        <v>2.4700000000000002</v>
      </c>
      <c r="F864" s="25">
        <f t="shared" si="39"/>
        <v>7.4655843477745565</v>
      </c>
      <c r="G864" s="29">
        <f t="shared" si="40"/>
        <v>6.8472949688749862</v>
      </c>
      <c r="H864" s="31">
        <f t="shared" si="41"/>
        <v>6.2792174768567692</v>
      </c>
    </row>
    <row r="865" spans="1:8" x14ac:dyDescent="0.3">
      <c r="A865" s="5">
        <v>2.208166753</v>
      </c>
      <c r="B865" s="11">
        <v>2.3531711749999999</v>
      </c>
      <c r="C865" s="17">
        <v>2.4926585590000001</v>
      </c>
      <c r="D865">
        <v>2.4700000000000002</v>
      </c>
      <c r="F865" s="25">
        <f t="shared" si="39"/>
        <v>4.876000409054563</v>
      </c>
      <c r="G865" s="29">
        <f t="shared" si="40"/>
        <v>5.5374145788508802</v>
      </c>
      <c r="H865" s="31">
        <f t="shared" si="41"/>
        <v>6.213346691755957</v>
      </c>
    </row>
    <row r="866" spans="1:8" x14ac:dyDescent="0.3">
      <c r="A866" s="5">
        <v>4.9864192630000002</v>
      </c>
      <c r="B866" s="11">
        <v>5.2802161639999996</v>
      </c>
      <c r="C866" s="17">
        <v>2.6390108080000001</v>
      </c>
      <c r="D866">
        <v>2.4700000000000002</v>
      </c>
      <c r="F866" s="25">
        <f t="shared" si="39"/>
        <v>24.864377066417465</v>
      </c>
      <c r="G866" s="29">
        <f t="shared" si="40"/>
        <v>27.880682738566872</v>
      </c>
      <c r="H866" s="31">
        <f t="shared" si="41"/>
        <v>6.9643780447408137</v>
      </c>
    </row>
    <row r="867" spans="1:8" x14ac:dyDescent="0.3">
      <c r="A867" s="5">
        <v>3.2284005250000001</v>
      </c>
      <c r="B867" s="11">
        <v>2.8736840880000001</v>
      </c>
      <c r="C867" s="17">
        <v>2.5186842039999999</v>
      </c>
      <c r="D867">
        <v>2.4700000000000002</v>
      </c>
      <c r="F867" s="25">
        <f t="shared" si="39"/>
        <v>10.422569949820277</v>
      </c>
      <c r="G867" s="29">
        <f t="shared" si="40"/>
        <v>8.2580602376243917</v>
      </c>
      <c r="H867" s="31">
        <f t="shared" si="41"/>
        <v>6.343770119479113</v>
      </c>
    </row>
    <row r="868" spans="1:8" x14ac:dyDescent="0.3">
      <c r="A868" s="5">
        <v>0.69444868299999996</v>
      </c>
      <c r="B868" s="11">
        <v>1.4146795089999999</v>
      </c>
      <c r="C868" s="17">
        <v>2.445733975</v>
      </c>
      <c r="D868">
        <v>2.4700000000000002</v>
      </c>
      <c r="F868" s="25">
        <f t="shared" si="39"/>
        <v>0.48225897332043444</v>
      </c>
      <c r="G868" s="29">
        <f t="shared" si="40"/>
        <v>2.0013181131844808</v>
      </c>
      <c r="H868" s="31">
        <f t="shared" si="41"/>
        <v>5.9816146764693006</v>
      </c>
    </row>
    <row r="869" spans="1:8" x14ac:dyDescent="0.3">
      <c r="A869" s="5">
        <v>3.454695273</v>
      </c>
      <c r="B869" s="11">
        <v>2.9985145100000001</v>
      </c>
      <c r="C869" s="17">
        <v>2.5249257250000001</v>
      </c>
      <c r="D869">
        <v>2.4700000000000002</v>
      </c>
      <c r="F869" s="25">
        <f t="shared" si="39"/>
        <v>11.934919429288545</v>
      </c>
      <c r="G869" s="29">
        <f t="shared" si="40"/>
        <v>8.9910892666805413</v>
      </c>
      <c r="H869" s="31">
        <f t="shared" si="41"/>
        <v>6.3752499167667764</v>
      </c>
    </row>
    <row r="870" spans="1:8" x14ac:dyDescent="0.3">
      <c r="A870" s="5">
        <v>1.9910275580000001</v>
      </c>
      <c r="B870" s="11">
        <v>2.2420059120000002</v>
      </c>
      <c r="C870" s="17">
        <v>2.4871002959999999</v>
      </c>
      <c r="D870">
        <v>2.4700000000000002</v>
      </c>
      <c r="F870" s="25">
        <f t="shared" si="39"/>
        <v>3.9641907367154436</v>
      </c>
      <c r="G870" s="29">
        <f t="shared" si="40"/>
        <v>5.0265905094429524</v>
      </c>
      <c r="H870" s="31">
        <f t="shared" si="41"/>
        <v>6.1856678823632869</v>
      </c>
    </row>
    <row r="871" spans="1:8" x14ac:dyDescent="0.3">
      <c r="A871" s="5">
        <v>1.5535447250000001</v>
      </c>
      <c r="B871" s="11">
        <v>2.0061580189999999</v>
      </c>
      <c r="C871" s="17">
        <v>2.4753079009999999</v>
      </c>
      <c r="D871">
        <v>2.4700000000000002</v>
      </c>
      <c r="F871" s="25">
        <f t="shared" si="39"/>
        <v>2.4135012125753259</v>
      </c>
      <c r="G871" s="29">
        <f t="shared" si="40"/>
        <v>4.0246699971980036</v>
      </c>
      <c r="H871" s="31">
        <f t="shared" si="41"/>
        <v>6.1271492047530254</v>
      </c>
    </row>
    <row r="872" spans="1:8" x14ac:dyDescent="0.3">
      <c r="A872" s="5">
        <v>2.9827265239999998</v>
      </c>
      <c r="B872" s="11">
        <v>2.744415332</v>
      </c>
      <c r="C872" s="17">
        <v>2.5122207670000001</v>
      </c>
      <c r="D872">
        <v>2.4700000000000002</v>
      </c>
      <c r="F872" s="25">
        <f t="shared" si="39"/>
        <v>8.8966575169731215</v>
      </c>
      <c r="G872" s="29">
        <f t="shared" si="40"/>
        <v>7.5318155145166701</v>
      </c>
      <c r="H872" s="31">
        <f t="shared" si="41"/>
        <v>6.3112531821460687</v>
      </c>
    </row>
    <row r="873" spans="1:8" x14ac:dyDescent="0.3">
      <c r="A873" s="5">
        <v>3.9481795709999998</v>
      </c>
      <c r="B873" s="11">
        <v>3.3051574700000002</v>
      </c>
      <c r="C873" s="17">
        <v>2.5402578729999998</v>
      </c>
      <c r="D873">
        <v>2.4700000000000002</v>
      </c>
      <c r="F873" s="25">
        <f t="shared" si="39"/>
        <v>15.588121924861742</v>
      </c>
      <c r="G873" s="29">
        <f t="shared" si="40"/>
        <v>10.924065901496801</v>
      </c>
      <c r="H873" s="31">
        <f t="shared" si="41"/>
        <v>6.4529100613384829</v>
      </c>
    </row>
    <row r="874" spans="1:8" x14ac:dyDescent="0.3">
      <c r="A874" s="5">
        <v>0.98452711599999998</v>
      </c>
      <c r="B874" s="11">
        <v>1.647273684</v>
      </c>
      <c r="C874" s="17">
        <v>2.4573636840000002</v>
      </c>
      <c r="D874">
        <v>2.4700000000000002</v>
      </c>
      <c r="F874" s="25">
        <f t="shared" si="39"/>
        <v>0.96929364213927738</v>
      </c>
      <c r="G874" s="29">
        <f t="shared" si="40"/>
        <v>2.7135105899989318</v>
      </c>
      <c r="H874" s="31">
        <f t="shared" si="41"/>
        <v>6.0386362754420526</v>
      </c>
    </row>
    <row r="875" spans="1:8" x14ac:dyDescent="0.3">
      <c r="A875" s="5">
        <v>0.50462355400000003</v>
      </c>
      <c r="B875" s="11">
        <v>1.223699264</v>
      </c>
      <c r="C875" s="17">
        <v>2.4361849630000001</v>
      </c>
      <c r="D875">
        <v>2.4700000000000002</v>
      </c>
      <c r="F875" s="25">
        <f t="shared" si="39"/>
        <v>0.25464493125159093</v>
      </c>
      <c r="G875" s="29">
        <f t="shared" si="40"/>
        <v>1.4974398887141416</v>
      </c>
      <c r="H875" s="31">
        <f t="shared" si="41"/>
        <v>5.9349971739473117</v>
      </c>
    </row>
    <row r="876" spans="1:8" x14ac:dyDescent="0.3">
      <c r="A876" s="5">
        <v>1.2739951780000001</v>
      </c>
      <c r="B876" s="11">
        <v>1.84053676</v>
      </c>
      <c r="C876" s="17">
        <v>2.4670268380000002</v>
      </c>
      <c r="D876">
        <v>2.4700000000000002</v>
      </c>
      <c r="F876" s="25">
        <f t="shared" si="39"/>
        <v>1.6230637135672519</v>
      </c>
      <c r="G876" s="29">
        <f t="shared" si="40"/>
        <v>3.3875755649112977</v>
      </c>
      <c r="H876" s="31">
        <f t="shared" si="41"/>
        <v>6.0862214194122792</v>
      </c>
    </row>
    <row r="877" spans="1:8" x14ac:dyDescent="0.3">
      <c r="A877" s="5">
        <v>4.8228400520000001</v>
      </c>
      <c r="B877" s="11">
        <v>4.3063474270000004</v>
      </c>
      <c r="C877" s="17">
        <v>2.5903173709999998</v>
      </c>
      <c r="D877">
        <v>2.4700000000000002</v>
      </c>
      <c r="F877" s="25">
        <f t="shared" si="39"/>
        <v>23.259786167175363</v>
      </c>
      <c r="G877" s="29">
        <f t="shared" si="40"/>
        <v>18.544628162029525</v>
      </c>
      <c r="H877" s="31">
        <f t="shared" si="41"/>
        <v>6.7097440825043506</v>
      </c>
    </row>
    <row r="878" spans="1:8" x14ac:dyDescent="0.3">
      <c r="A878" s="5">
        <v>2.571031831</v>
      </c>
      <c r="B878" s="11">
        <v>2.5356180859999999</v>
      </c>
      <c r="C878" s="17">
        <v>2.5017809039999999</v>
      </c>
      <c r="D878">
        <v>2.4700000000000002</v>
      </c>
      <c r="F878" s="25">
        <f t="shared" si="39"/>
        <v>6.6102046760152122</v>
      </c>
      <c r="G878" s="29">
        <f t="shared" si="40"/>
        <v>6.4293590780503029</v>
      </c>
      <c r="H878" s="31">
        <f t="shared" si="41"/>
        <v>6.2589076916190569</v>
      </c>
    </row>
    <row r="879" spans="1:8" x14ac:dyDescent="0.3">
      <c r="A879" s="5">
        <v>3.7504196300000001</v>
      </c>
      <c r="B879" s="11">
        <v>3.1747541190000002</v>
      </c>
      <c r="C879" s="17">
        <v>2.5337377060000001</v>
      </c>
      <c r="D879">
        <v>2.4700000000000002</v>
      </c>
      <c r="F879" s="25">
        <f t="shared" si="39"/>
        <v>14.065647401089338</v>
      </c>
      <c r="G879" s="29">
        <f t="shared" si="40"/>
        <v>10.079063716107466</v>
      </c>
      <c r="H879" s="31">
        <f t="shared" si="41"/>
        <v>6.4198267628061432</v>
      </c>
    </row>
    <row r="880" spans="1:8" x14ac:dyDescent="0.3">
      <c r="A880" s="5">
        <v>0.61906796500000005</v>
      </c>
      <c r="B880" s="11">
        <v>1.343868525</v>
      </c>
      <c r="C880" s="17">
        <v>2.4421934259999998</v>
      </c>
      <c r="D880">
        <v>2.4700000000000002</v>
      </c>
      <c r="F880" s="25">
        <f t="shared" si="39"/>
        <v>0.38324514528924131</v>
      </c>
      <c r="G880" s="29">
        <f t="shared" si="40"/>
        <v>1.8059826124856755</v>
      </c>
      <c r="H880" s="31">
        <f t="shared" si="41"/>
        <v>5.9643087299976161</v>
      </c>
    </row>
    <row r="881" spans="1:8" x14ac:dyDescent="0.3">
      <c r="A881" s="5">
        <v>0.25437177599999999</v>
      </c>
      <c r="B881" s="11">
        <v>0.863564373</v>
      </c>
      <c r="C881" s="17">
        <v>2.4181782190000001</v>
      </c>
      <c r="D881">
        <v>2.4700000000000002</v>
      </c>
      <c r="F881" s="25">
        <f t="shared" si="39"/>
        <v>6.4705000425394177E-2</v>
      </c>
      <c r="G881" s="29">
        <f t="shared" si="40"/>
        <v>0.74574342631488311</v>
      </c>
      <c r="H881" s="31">
        <f t="shared" si="41"/>
        <v>5.8475858988460123</v>
      </c>
    </row>
    <row r="882" spans="1:8" x14ac:dyDescent="0.3">
      <c r="A882" s="5">
        <v>3.7363811149999999</v>
      </c>
      <c r="B882" s="11">
        <v>3.1659433890000002</v>
      </c>
      <c r="C882" s="17">
        <v>2.5332971689999999</v>
      </c>
      <c r="D882">
        <v>2.4700000000000002</v>
      </c>
      <c r="F882" s="25">
        <f t="shared" si="39"/>
        <v>13.960543836528643</v>
      </c>
      <c r="G882" s="29">
        <f t="shared" si="40"/>
        <v>10.023197542352806</v>
      </c>
      <c r="H882" s="31">
        <f t="shared" si="41"/>
        <v>6.4175945464634143</v>
      </c>
    </row>
    <row r="883" spans="1:8" x14ac:dyDescent="0.3">
      <c r="A883" s="5">
        <v>4.2893765070000001</v>
      </c>
      <c r="B883" s="11">
        <v>3.5708231459999999</v>
      </c>
      <c r="C883" s="17">
        <v>2.5535411570000002</v>
      </c>
      <c r="D883">
        <v>2.4700000000000002</v>
      </c>
      <c r="F883" s="25">
        <f t="shared" si="39"/>
        <v>18.398750818803521</v>
      </c>
      <c r="G883" s="29">
        <f t="shared" si="40"/>
        <v>12.750777940009337</v>
      </c>
      <c r="H883" s="31">
        <f t="shared" si="41"/>
        <v>6.5205724404928995</v>
      </c>
    </row>
    <row r="884" spans="1:8" x14ac:dyDescent="0.3">
      <c r="A884" s="5">
        <v>2.6493118080000002</v>
      </c>
      <c r="B884" s="11">
        <v>2.574924174</v>
      </c>
      <c r="C884" s="17">
        <v>2.503746209</v>
      </c>
      <c r="D884">
        <v>2.4700000000000002</v>
      </c>
      <c r="F884" s="25">
        <f t="shared" si="39"/>
        <v>7.0188530560082301</v>
      </c>
      <c r="G884" s="29">
        <f t="shared" si="40"/>
        <v>6.6302345018495821</v>
      </c>
      <c r="H884" s="31">
        <f t="shared" si="41"/>
        <v>6.2687450790818717</v>
      </c>
    </row>
    <row r="885" spans="1:8" x14ac:dyDescent="0.3">
      <c r="A885" s="5">
        <v>0.96743674999999996</v>
      </c>
      <c r="B885" s="11">
        <v>1.6348840920000001</v>
      </c>
      <c r="C885" s="17">
        <v>2.4567442050000001</v>
      </c>
      <c r="D885">
        <v>2.4700000000000002</v>
      </c>
      <c r="F885" s="25">
        <f t="shared" si="39"/>
        <v>0.93593386525056244</v>
      </c>
      <c r="G885" s="29">
        <f t="shared" si="40"/>
        <v>2.6728459942746645</v>
      </c>
      <c r="H885" s="31">
        <f t="shared" si="41"/>
        <v>6.0355920888010823</v>
      </c>
    </row>
    <row r="886" spans="1:8" x14ac:dyDescent="0.3">
      <c r="A886" s="5">
        <v>2.954802087</v>
      </c>
      <c r="B886" s="11">
        <v>2.730015758</v>
      </c>
      <c r="C886" s="17">
        <v>2.5115007880000002</v>
      </c>
      <c r="D886">
        <v>2.4700000000000002</v>
      </c>
      <c r="F886" s="25">
        <f t="shared" si="39"/>
        <v>8.7308553733395549</v>
      </c>
      <c r="G886" s="29">
        <f t="shared" si="40"/>
        <v>7.452986038928314</v>
      </c>
      <c r="H886" s="31">
        <f t="shared" si="41"/>
        <v>6.307636208124622</v>
      </c>
    </row>
    <row r="887" spans="1:8" x14ac:dyDescent="0.3">
      <c r="A887" s="5">
        <v>2.258522294</v>
      </c>
      <c r="B887" s="11">
        <v>2.3786438479999998</v>
      </c>
      <c r="C887" s="17">
        <v>2.4939321919999999</v>
      </c>
      <c r="D887">
        <v>2.4700000000000002</v>
      </c>
      <c r="F887" s="25">
        <f t="shared" si="39"/>
        <v>5.100922952495023</v>
      </c>
      <c r="G887" s="29">
        <f t="shared" si="40"/>
        <v>5.6579465556282464</v>
      </c>
      <c r="H887" s="31">
        <f t="shared" si="41"/>
        <v>6.2196977782939245</v>
      </c>
    </row>
    <row r="888" spans="1:8" x14ac:dyDescent="0.3">
      <c r="A888" s="5">
        <v>2.7759636219999999</v>
      </c>
      <c r="B888" s="11">
        <v>2.6387911650000002</v>
      </c>
      <c r="C888" s="17">
        <v>2.506939558</v>
      </c>
      <c r="D888">
        <v>2.4700000000000002</v>
      </c>
      <c r="F888" s="25">
        <f t="shared" si="39"/>
        <v>7.7059740306673588</v>
      </c>
      <c r="G888" s="29">
        <f t="shared" si="40"/>
        <v>6.963218812482058</v>
      </c>
      <c r="H888" s="31">
        <f t="shared" si="41"/>
        <v>6.2847459474652352</v>
      </c>
    </row>
    <row r="889" spans="1:8" x14ac:dyDescent="0.3">
      <c r="A889" s="5">
        <v>0.75853755300000003</v>
      </c>
      <c r="B889" s="11">
        <v>1.4708612700000001</v>
      </c>
      <c r="C889" s="17">
        <v>2.4485430639999999</v>
      </c>
      <c r="D889">
        <v>2.4700000000000002</v>
      </c>
      <c r="F889" s="25">
        <f t="shared" si="39"/>
        <v>0.57537921931122782</v>
      </c>
      <c r="G889" s="29">
        <f t="shared" si="40"/>
        <v>2.1634328755860133</v>
      </c>
      <c r="H889" s="31">
        <f t="shared" si="41"/>
        <v>5.9953631362625073</v>
      </c>
    </row>
    <row r="890" spans="1:8" x14ac:dyDescent="0.3">
      <c r="A890" s="5">
        <v>1.2407300029999999</v>
      </c>
      <c r="B890" s="11">
        <v>1.8196638570000001</v>
      </c>
      <c r="C890" s="17">
        <v>2.465983193</v>
      </c>
      <c r="D890">
        <v>2.4700000000000002</v>
      </c>
      <c r="F890" s="25">
        <f t="shared" si="39"/>
        <v>1.5394109403443799</v>
      </c>
      <c r="G890" s="29">
        <f t="shared" si="40"/>
        <v>3.3111765524721166</v>
      </c>
      <c r="H890" s="31">
        <f t="shared" si="41"/>
        <v>6.081073108158475</v>
      </c>
    </row>
    <row r="891" spans="1:8" x14ac:dyDescent="0.3">
      <c r="A891" s="5">
        <v>4.9000518810000004</v>
      </c>
      <c r="B891" s="11">
        <v>4.5539664550000003</v>
      </c>
      <c r="C891" s="17">
        <v>2.6026983229999998</v>
      </c>
      <c r="D891">
        <v>2.4700000000000002</v>
      </c>
      <c r="F891" s="25">
        <f t="shared" si="39"/>
        <v>24.010508436491641</v>
      </c>
      <c r="G891" s="29">
        <f t="shared" si="40"/>
        <v>20.738610473265268</v>
      </c>
      <c r="H891" s="31">
        <f t="shared" si="41"/>
        <v>6.7740385605470115</v>
      </c>
    </row>
    <row r="892" spans="1:8" x14ac:dyDescent="0.3">
      <c r="A892" s="5">
        <v>0.91723380200000004</v>
      </c>
      <c r="B892" s="11">
        <v>1.5976925799999999</v>
      </c>
      <c r="C892" s="17">
        <v>2.4548846289999999</v>
      </c>
      <c r="D892">
        <v>2.4700000000000002</v>
      </c>
      <c r="F892" s="25">
        <f t="shared" si="39"/>
        <v>0.84131784753137528</v>
      </c>
      <c r="G892" s="29">
        <f t="shared" si="40"/>
        <v>2.552621580187056</v>
      </c>
      <c r="H892" s="31">
        <f t="shared" si="41"/>
        <v>6.0264585417004675</v>
      </c>
    </row>
    <row r="893" spans="1:8" x14ac:dyDescent="0.3">
      <c r="A893" s="5">
        <v>2.4448377940000001</v>
      </c>
      <c r="B893" s="11">
        <v>2.4723422660000001</v>
      </c>
      <c r="C893" s="17">
        <v>2.4986171129999999</v>
      </c>
      <c r="D893">
        <v>2.4700000000000002</v>
      </c>
      <c r="F893" s="25">
        <f t="shared" si="39"/>
        <v>5.9772318389707868</v>
      </c>
      <c r="G893" s="29">
        <f t="shared" si="40"/>
        <v>6.1124762802500152</v>
      </c>
      <c r="H893" s="31">
        <f t="shared" si="41"/>
        <v>6.243087477376454</v>
      </c>
    </row>
    <row r="894" spans="1:8" x14ac:dyDescent="0.3">
      <c r="A894" s="5">
        <v>4.9313333540000004</v>
      </c>
      <c r="B894" s="11">
        <v>4.7048152459999999</v>
      </c>
      <c r="C894" s="17">
        <v>2.6102407620000001</v>
      </c>
      <c r="D894">
        <v>2.4700000000000002</v>
      </c>
      <c r="F894" s="25">
        <f t="shared" si="39"/>
        <v>24.318048648272892</v>
      </c>
      <c r="G894" s="29">
        <f t="shared" si="40"/>
        <v>22.135286498994038</v>
      </c>
      <c r="H894" s="31">
        <f t="shared" si="41"/>
        <v>6.8133568356063412</v>
      </c>
    </row>
    <row r="895" spans="1:8" x14ac:dyDescent="0.3">
      <c r="A895" s="5">
        <v>1.3406781210000001</v>
      </c>
      <c r="B895" s="11">
        <v>1.881539055</v>
      </c>
      <c r="C895" s="17">
        <v>2.4690769530000001</v>
      </c>
      <c r="D895">
        <v>2.4700000000000002</v>
      </c>
      <c r="F895" s="25">
        <f t="shared" si="39"/>
        <v>1.7974178241280907</v>
      </c>
      <c r="G895" s="29">
        <f t="shared" si="40"/>
        <v>3.540189215490293</v>
      </c>
      <c r="H895" s="31">
        <f t="shared" si="41"/>
        <v>6.0963409998357649</v>
      </c>
    </row>
    <row r="896" spans="1:8" x14ac:dyDescent="0.3">
      <c r="A896" s="5">
        <v>2.779778436</v>
      </c>
      <c r="B896" s="11">
        <v>2.6407238409999998</v>
      </c>
      <c r="C896" s="17">
        <v>2.5070361920000002</v>
      </c>
      <c r="D896">
        <v>2.4700000000000002</v>
      </c>
      <c r="F896" s="25">
        <f t="shared" si="39"/>
        <v>7.7271681532506058</v>
      </c>
      <c r="G896" s="29">
        <f t="shared" si="40"/>
        <v>6.9734224044257918</v>
      </c>
      <c r="H896" s="31">
        <f t="shared" si="41"/>
        <v>6.2852304679978621</v>
      </c>
    </row>
    <row r="897" spans="1:8" x14ac:dyDescent="0.3">
      <c r="A897" s="5">
        <v>2.14148381</v>
      </c>
      <c r="B897" s="11">
        <v>2.3192879500000001</v>
      </c>
      <c r="C897" s="17">
        <v>2.490964398</v>
      </c>
      <c r="D897">
        <v>2.4700000000000002</v>
      </c>
      <c r="F897" s="25">
        <f t="shared" si="39"/>
        <v>4.585952908492116</v>
      </c>
      <c r="G897" s="29">
        <f t="shared" si="40"/>
        <v>5.379096595015203</v>
      </c>
      <c r="H897" s="31">
        <f t="shared" si="41"/>
        <v>6.2049036321035027</v>
      </c>
    </row>
    <row r="898" spans="1:8" x14ac:dyDescent="0.3">
      <c r="A898" s="5">
        <v>3.4759056369999999</v>
      </c>
      <c r="B898" s="11">
        <v>3.010590326</v>
      </c>
      <c r="C898" s="17">
        <v>2.5255295160000002</v>
      </c>
      <c r="D898">
        <v>2.4700000000000002</v>
      </c>
      <c r="F898" s="25">
        <f t="shared" si="39"/>
        <v>12.081919997328376</v>
      </c>
      <c r="G898" s="29">
        <f t="shared" si="40"/>
        <v>9.0636541110047855</v>
      </c>
      <c r="H898" s="31">
        <f t="shared" si="41"/>
        <v>6.3782993361871956</v>
      </c>
    </row>
    <row r="899" spans="1:8" x14ac:dyDescent="0.3">
      <c r="A899" s="5">
        <v>2.345194861</v>
      </c>
      <c r="B899" s="11">
        <v>2.4223143729999999</v>
      </c>
      <c r="C899" s="17">
        <v>2.4961157190000001</v>
      </c>
      <c r="D899">
        <v>2.4700000000000002</v>
      </c>
      <c r="F899" s="25">
        <f t="shared" ref="F899:F962" si="42">POWER(A899,2)</f>
        <v>5.4999389360608095</v>
      </c>
      <c r="G899" s="29">
        <f t="shared" ref="G899:G962" si="43">POWER(B899,2)</f>
        <v>5.8676069216423823</v>
      </c>
      <c r="H899" s="31">
        <f t="shared" ref="H899:H962" si="44">POWER(C899,2)</f>
        <v>6.2305936826388875</v>
      </c>
    </row>
    <row r="900" spans="1:8" x14ac:dyDescent="0.3">
      <c r="A900" s="5">
        <v>1.2288277839999999</v>
      </c>
      <c r="B900" s="11">
        <v>1.8121241459999999</v>
      </c>
      <c r="C900" s="17">
        <v>2.465606207</v>
      </c>
      <c r="D900">
        <v>2.4700000000000002</v>
      </c>
      <c r="F900" s="25">
        <f t="shared" si="42"/>
        <v>1.5100177227303504</v>
      </c>
      <c r="G900" s="29">
        <f t="shared" si="43"/>
        <v>3.2837939205162292</v>
      </c>
      <c r="H900" s="31">
        <f t="shared" si="44"/>
        <v>6.0792139679969273</v>
      </c>
    </row>
    <row r="901" spans="1:8" x14ac:dyDescent="0.3">
      <c r="A901" s="5">
        <v>3.2760094</v>
      </c>
      <c r="B901" s="11">
        <v>2.8994034609999999</v>
      </c>
      <c r="C901" s="17">
        <v>2.5199701729999999</v>
      </c>
      <c r="D901">
        <v>2.4700000000000002</v>
      </c>
      <c r="F901" s="25">
        <f t="shared" si="42"/>
        <v>10.73223758888836</v>
      </c>
      <c r="G901" s="29">
        <f t="shared" si="43"/>
        <v>8.4065404296587776</v>
      </c>
      <c r="H901" s="31">
        <f t="shared" si="44"/>
        <v>6.3502496728096496</v>
      </c>
    </row>
    <row r="902" spans="1:8" x14ac:dyDescent="0.3">
      <c r="A902" s="5">
        <v>3.019501328</v>
      </c>
      <c r="B902" s="11">
        <v>2.7634556039999998</v>
      </c>
      <c r="C902" s="17">
        <v>2.5131727800000001</v>
      </c>
      <c r="D902">
        <v>2.4700000000000002</v>
      </c>
      <c r="F902" s="25">
        <f t="shared" si="42"/>
        <v>9.1173882697937643</v>
      </c>
      <c r="G902" s="29">
        <f t="shared" si="43"/>
        <v>7.636686875279004</v>
      </c>
      <c r="H902" s="31">
        <f t="shared" si="44"/>
        <v>6.3160374221329292</v>
      </c>
    </row>
    <row r="903" spans="1:8" x14ac:dyDescent="0.3">
      <c r="A903" s="5">
        <v>2.6935636459999999</v>
      </c>
      <c r="B903" s="11">
        <v>2.5971908780000001</v>
      </c>
      <c r="C903" s="17">
        <v>2.5048595439999999</v>
      </c>
      <c r="D903">
        <v>2.4700000000000002</v>
      </c>
      <c r="F903" s="25">
        <f t="shared" si="42"/>
        <v>7.2552851150528124</v>
      </c>
      <c r="G903" s="29">
        <f t="shared" si="43"/>
        <v>6.7454004567664114</v>
      </c>
      <c r="H903" s="31">
        <f t="shared" si="44"/>
        <v>6.2743213351678877</v>
      </c>
    </row>
    <row r="904" spans="1:8" x14ac:dyDescent="0.3">
      <c r="A904" s="5">
        <v>4.7781304359999996</v>
      </c>
      <c r="B904" s="11">
        <v>4.2020374800000004</v>
      </c>
      <c r="C904" s="17">
        <v>2.5851018739999998</v>
      </c>
      <c r="D904">
        <v>2.4700000000000002</v>
      </c>
      <c r="F904" s="25">
        <f t="shared" si="42"/>
        <v>22.830530463429547</v>
      </c>
      <c r="G904" s="29">
        <f t="shared" si="43"/>
        <v>17.657118983324754</v>
      </c>
      <c r="H904" s="31">
        <f t="shared" si="44"/>
        <v>6.6827516989583104</v>
      </c>
    </row>
    <row r="905" spans="1:8" x14ac:dyDescent="0.3">
      <c r="A905" s="5">
        <v>4.2458876310000004</v>
      </c>
      <c r="B905" s="11">
        <v>3.5329131330000001</v>
      </c>
      <c r="C905" s="17">
        <v>2.5516456569999999</v>
      </c>
      <c r="D905">
        <v>2.4700000000000002</v>
      </c>
      <c r="F905" s="25">
        <f t="shared" si="42"/>
        <v>18.027561775078794</v>
      </c>
      <c r="G905" s="29">
        <f t="shared" si="43"/>
        <v>12.481475205323877</v>
      </c>
      <c r="H905" s="31">
        <f t="shared" si="44"/>
        <v>6.5108955588869613</v>
      </c>
    </row>
    <row r="906" spans="1:8" x14ac:dyDescent="0.3">
      <c r="A906" s="5">
        <v>4.0572832419999996</v>
      </c>
      <c r="B906" s="11">
        <v>3.3832762430000001</v>
      </c>
      <c r="C906" s="17">
        <v>2.5441638119999999</v>
      </c>
      <c r="D906">
        <v>2.4700000000000002</v>
      </c>
      <c r="F906" s="25">
        <f t="shared" si="42"/>
        <v>16.461547305814026</v>
      </c>
      <c r="G906" s="29">
        <f t="shared" si="43"/>
        <v>11.446558136448196</v>
      </c>
      <c r="H906" s="31">
        <f t="shared" si="44"/>
        <v>6.4727695022903706</v>
      </c>
    </row>
    <row r="907" spans="1:8" x14ac:dyDescent="0.3">
      <c r="A907" s="5">
        <v>1.3432721949999999</v>
      </c>
      <c r="B907" s="11">
        <v>1.8831124809999999</v>
      </c>
      <c r="C907" s="17">
        <v>2.4691556239999999</v>
      </c>
      <c r="D907">
        <v>2.4700000000000002</v>
      </c>
      <c r="F907" s="25">
        <f t="shared" si="42"/>
        <v>1.8043801898601179</v>
      </c>
      <c r="G907" s="29">
        <f t="shared" si="43"/>
        <v>3.5461126160979752</v>
      </c>
      <c r="H907" s="31">
        <f t="shared" si="44"/>
        <v>6.0967294955308287</v>
      </c>
    </row>
    <row r="908" spans="1:8" x14ac:dyDescent="0.3">
      <c r="A908" s="5">
        <v>2.7291177100000001</v>
      </c>
      <c r="B908" s="11">
        <v>2.6151158809999999</v>
      </c>
      <c r="C908" s="17">
        <v>2.5057557940000001</v>
      </c>
      <c r="D908">
        <v>2.4700000000000002</v>
      </c>
      <c r="F908" s="25">
        <f t="shared" si="42"/>
        <v>7.4480834750356451</v>
      </c>
      <c r="G908" s="29">
        <f t="shared" si="43"/>
        <v>6.8388310710584062</v>
      </c>
      <c r="H908" s="31">
        <f t="shared" si="44"/>
        <v>6.2788120991645711</v>
      </c>
    </row>
    <row r="909" spans="1:8" x14ac:dyDescent="0.3">
      <c r="A909" s="5">
        <v>1.122623371</v>
      </c>
      <c r="B909" s="11">
        <v>1.743000275</v>
      </c>
      <c r="C909" s="17">
        <v>2.4621500140000001</v>
      </c>
      <c r="D909">
        <v>2.4700000000000002</v>
      </c>
      <c r="F909" s="25">
        <f t="shared" si="42"/>
        <v>1.2602832331154037</v>
      </c>
      <c r="G909" s="29">
        <f t="shared" si="43"/>
        <v>3.0380499586500758</v>
      </c>
      <c r="H909" s="31">
        <f t="shared" si="44"/>
        <v>6.0621826914402011</v>
      </c>
    </row>
    <row r="910" spans="1:8" x14ac:dyDescent="0.3">
      <c r="A910" s="5">
        <v>3.941465499</v>
      </c>
      <c r="B910" s="11">
        <v>3.3005122249999999</v>
      </c>
      <c r="C910" s="17">
        <v>2.5400256109999999</v>
      </c>
      <c r="D910">
        <v>2.4700000000000002</v>
      </c>
      <c r="F910" s="25">
        <f t="shared" si="42"/>
        <v>15.535150279807318</v>
      </c>
      <c r="G910" s="29">
        <f t="shared" si="43"/>
        <v>10.89338094737445</v>
      </c>
      <c r="H910" s="31">
        <f t="shared" si="44"/>
        <v>6.4517301045359225</v>
      </c>
    </row>
    <row r="911" spans="1:8" x14ac:dyDescent="0.3">
      <c r="A911" s="5">
        <v>2.030854213</v>
      </c>
      <c r="B911" s="11">
        <v>2.2625934609999998</v>
      </c>
      <c r="C911" s="17">
        <v>2.488129673</v>
      </c>
      <c r="D911">
        <v>2.4700000000000002</v>
      </c>
      <c r="F911" s="25">
        <f t="shared" si="42"/>
        <v>4.1243688344598493</v>
      </c>
      <c r="G911" s="29">
        <f t="shared" si="43"/>
        <v>5.1193291697599577</v>
      </c>
      <c r="H911" s="31">
        <f t="shared" si="44"/>
        <v>6.1907892696630871</v>
      </c>
    </row>
    <row r="912" spans="1:8" x14ac:dyDescent="0.3">
      <c r="A912" s="5">
        <v>3.99304178</v>
      </c>
      <c r="B912" s="11">
        <v>3.3366600919999998</v>
      </c>
      <c r="C912" s="17">
        <v>2.541833005</v>
      </c>
      <c r="D912">
        <v>2.4700000000000002</v>
      </c>
      <c r="F912" s="25">
        <f t="shared" si="42"/>
        <v>15.944382656825569</v>
      </c>
      <c r="G912" s="29">
        <f t="shared" si="43"/>
        <v>11.133300569545447</v>
      </c>
      <c r="H912" s="31">
        <f t="shared" si="44"/>
        <v>6.4609150253073295</v>
      </c>
    </row>
    <row r="913" spans="1:8" x14ac:dyDescent="0.3">
      <c r="A913" s="5">
        <v>4.3150120550000004</v>
      </c>
      <c r="B913" s="11">
        <v>3.5939083950000001</v>
      </c>
      <c r="C913" s="17">
        <v>2.5546954199999998</v>
      </c>
      <c r="D913">
        <v>2.4700000000000002</v>
      </c>
      <c r="F913" s="25">
        <f t="shared" si="42"/>
        <v>18.619329034795328</v>
      </c>
      <c r="G913" s="29">
        <f t="shared" si="43"/>
        <v>12.916177551651478</v>
      </c>
      <c r="H913" s="31">
        <f t="shared" si="44"/>
        <v>6.5264686889689756</v>
      </c>
    </row>
    <row r="914" spans="1:8" x14ac:dyDescent="0.3">
      <c r="A914" s="5">
        <v>2.524643696</v>
      </c>
      <c r="B914" s="11">
        <v>2.5123554860000001</v>
      </c>
      <c r="C914" s="17">
        <v>2.5006177740000002</v>
      </c>
      <c r="D914">
        <v>2.4700000000000002</v>
      </c>
      <c r="F914" s="25">
        <f t="shared" si="42"/>
        <v>6.3738257917525409</v>
      </c>
      <c r="G914" s="29">
        <f t="shared" si="43"/>
        <v>6.3119300880342966</v>
      </c>
      <c r="H914" s="31">
        <f t="shared" si="44"/>
        <v>6.2530892516447159</v>
      </c>
    </row>
    <row r="915" spans="1:8" x14ac:dyDescent="0.3">
      <c r="A915" s="5">
        <v>4.4677571949999999</v>
      </c>
      <c r="B915" s="11">
        <v>3.7456393960000001</v>
      </c>
      <c r="C915" s="17">
        <v>2.5622819699999999</v>
      </c>
      <c r="D915">
        <v>2.4700000000000002</v>
      </c>
      <c r="F915" s="25">
        <f t="shared" si="42"/>
        <v>19.960854353474268</v>
      </c>
      <c r="G915" s="29">
        <f t="shared" si="43"/>
        <v>14.029814484867245</v>
      </c>
      <c r="H915" s="31">
        <f t="shared" si="44"/>
        <v>6.5652888937870806</v>
      </c>
    </row>
    <row r="916" spans="1:8" x14ac:dyDescent="0.3">
      <c r="A916" s="5">
        <v>4.1244239629999999</v>
      </c>
      <c r="B916" s="11">
        <v>3.4341420079999998</v>
      </c>
      <c r="C916" s="17">
        <v>2.5467070999999999</v>
      </c>
      <c r="D916">
        <v>2.4700000000000002</v>
      </c>
      <c r="F916" s="25">
        <f t="shared" si="42"/>
        <v>17.010873026568625</v>
      </c>
      <c r="G916" s="29">
        <f t="shared" si="43"/>
        <v>11.79333133111027</v>
      </c>
      <c r="H916" s="31">
        <f t="shared" si="44"/>
        <v>6.4857170531904096</v>
      </c>
    </row>
    <row r="917" spans="1:8" x14ac:dyDescent="0.3">
      <c r="A917" s="5">
        <v>0.58809167799999995</v>
      </c>
      <c r="B917" s="11">
        <v>1.3130230119999999</v>
      </c>
      <c r="C917" s="17">
        <v>2.440651151</v>
      </c>
      <c r="D917">
        <v>2.4700000000000002</v>
      </c>
      <c r="F917" s="25">
        <f t="shared" si="42"/>
        <v>0.34585182173285561</v>
      </c>
      <c r="G917" s="29">
        <f t="shared" si="43"/>
        <v>1.724029430041552</v>
      </c>
      <c r="H917" s="31">
        <f t="shared" si="44"/>
        <v>5.9567780408776247</v>
      </c>
    </row>
    <row r="918" spans="1:8" x14ac:dyDescent="0.3">
      <c r="A918" s="5">
        <v>1.718802454</v>
      </c>
      <c r="B918" s="11">
        <v>2.097778242</v>
      </c>
      <c r="C918" s="17">
        <v>2.4798889119999998</v>
      </c>
      <c r="D918">
        <v>2.4700000000000002</v>
      </c>
      <c r="F918" s="25">
        <f t="shared" si="42"/>
        <v>2.954281875876422</v>
      </c>
      <c r="G918" s="29">
        <f t="shared" si="43"/>
        <v>4.4006735526086107</v>
      </c>
      <c r="H918" s="31">
        <f t="shared" si="44"/>
        <v>6.1498490158605428</v>
      </c>
    </row>
    <row r="919" spans="1:8" x14ac:dyDescent="0.3">
      <c r="A919" s="5">
        <v>3.7900936920000001</v>
      </c>
      <c r="B919" s="11">
        <v>3.1999425750000001</v>
      </c>
      <c r="C919" s="17">
        <v>2.5349971290000002</v>
      </c>
      <c r="D919">
        <v>2.4700000000000002</v>
      </c>
      <c r="F919" s="25">
        <f t="shared" si="42"/>
        <v>14.364810194138192</v>
      </c>
      <c r="G919" s="29">
        <f t="shared" si="43"/>
        <v>10.239632483297632</v>
      </c>
      <c r="H919" s="31">
        <f t="shared" si="44"/>
        <v>6.4262104440382437</v>
      </c>
    </row>
    <row r="920" spans="1:8" x14ac:dyDescent="0.3">
      <c r="A920" s="5">
        <v>2.6004821919999999</v>
      </c>
      <c r="B920" s="11">
        <v>2.5503951009999999</v>
      </c>
      <c r="C920" s="17">
        <v>2.5025197549999998</v>
      </c>
      <c r="D920">
        <v>2.4700000000000002</v>
      </c>
      <c r="F920" s="25">
        <f t="shared" si="42"/>
        <v>6.7625076309091243</v>
      </c>
      <c r="G920" s="29">
        <f t="shared" si="43"/>
        <v>6.5045151712047993</v>
      </c>
      <c r="H920" s="31">
        <f t="shared" si="44"/>
        <v>6.2626051241652592</v>
      </c>
    </row>
    <row r="921" spans="1:8" x14ac:dyDescent="0.3">
      <c r="A921" s="5">
        <v>4.3560594500000001</v>
      </c>
      <c r="B921" s="11">
        <v>3.632139005</v>
      </c>
      <c r="C921" s="17">
        <v>2.5566069499999999</v>
      </c>
      <c r="D921">
        <v>2.4700000000000002</v>
      </c>
      <c r="F921" s="25">
        <f t="shared" si="42"/>
        <v>18.975253931934304</v>
      </c>
      <c r="G921" s="29">
        <f t="shared" si="43"/>
        <v>13.19243375164239</v>
      </c>
      <c r="H921" s="31">
        <f t="shared" si="44"/>
        <v>6.5362390967883019</v>
      </c>
    </row>
    <row r="922" spans="1:8" x14ac:dyDescent="0.3">
      <c r="A922" s="5">
        <v>2.2508926659999999</v>
      </c>
      <c r="B922" s="11">
        <v>2.3747898639999998</v>
      </c>
      <c r="C922" s="17">
        <v>2.4937394930000001</v>
      </c>
      <c r="D922">
        <v>2.4700000000000002</v>
      </c>
      <c r="F922" s="25">
        <f t="shared" si="42"/>
        <v>5.0665177938525874</v>
      </c>
      <c r="G922" s="29">
        <f t="shared" si="43"/>
        <v>5.6396268981571378</v>
      </c>
      <c r="H922" s="31">
        <f t="shared" si="44"/>
        <v>6.2187366589478978</v>
      </c>
    </row>
    <row r="923" spans="1:8" x14ac:dyDescent="0.3">
      <c r="A923" s="5">
        <v>3.4154789879999998</v>
      </c>
      <c r="B923" s="11">
        <v>2.9763728610000002</v>
      </c>
      <c r="C923" s="17">
        <v>2.5238186429999998</v>
      </c>
      <c r="D923">
        <v>2.4700000000000002</v>
      </c>
      <c r="F923" s="25">
        <f t="shared" si="42"/>
        <v>11.665496717469503</v>
      </c>
      <c r="G923" s="29">
        <f t="shared" si="43"/>
        <v>8.8587954076973272</v>
      </c>
      <c r="H923" s="31">
        <f t="shared" si="44"/>
        <v>6.3696605427543602</v>
      </c>
    </row>
    <row r="924" spans="1:8" x14ac:dyDescent="0.3">
      <c r="A924" s="5">
        <v>4.8741111479999999</v>
      </c>
      <c r="B924" s="11">
        <v>4.4569324650000004</v>
      </c>
      <c r="C924" s="17">
        <v>2.5978466230000001</v>
      </c>
      <c r="D924">
        <v>2.4700000000000002</v>
      </c>
      <c r="F924" s="25">
        <f t="shared" si="42"/>
        <v>23.756959483057877</v>
      </c>
      <c r="G924" s="29">
        <f t="shared" si="43"/>
        <v>19.86424699757098</v>
      </c>
      <c r="H924" s="31">
        <f t="shared" si="44"/>
        <v>6.748807076632505</v>
      </c>
    </row>
    <row r="925" spans="1:8" x14ac:dyDescent="0.3">
      <c r="A925" s="5">
        <v>4.6430860320000003</v>
      </c>
      <c r="B925" s="11">
        <v>3.9655688570000001</v>
      </c>
      <c r="C925" s="17">
        <v>2.573278443</v>
      </c>
      <c r="D925">
        <v>2.4700000000000002</v>
      </c>
      <c r="F925" s="25">
        <f t="shared" si="42"/>
        <v>21.558247900553507</v>
      </c>
      <c r="G925" s="29">
        <f t="shared" si="43"/>
        <v>15.725736359608288</v>
      </c>
      <c r="H925" s="31">
        <f t="shared" si="44"/>
        <v>6.6217619452085037</v>
      </c>
    </row>
    <row r="926" spans="1:8" x14ac:dyDescent="0.3">
      <c r="A926" s="5">
        <v>3.3973204749999999</v>
      </c>
      <c r="B926" s="11">
        <v>2.9662001629999999</v>
      </c>
      <c r="C926" s="17">
        <v>2.5233100080000002</v>
      </c>
      <c r="D926">
        <v>2.4700000000000002</v>
      </c>
      <c r="F926" s="25">
        <f t="shared" si="42"/>
        <v>11.541786409854225</v>
      </c>
      <c r="G926" s="29">
        <f t="shared" si="43"/>
        <v>8.7983434069812265</v>
      </c>
      <c r="H926" s="31">
        <f t="shared" si="44"/>
        <v>6.3670933964729608</v>
      </c>
    </row>
    <row r="927" spans="1:8" x14ac:dyDescent="0.3">
      <c r="A927" s="5">
        <v>3.9643543810000001</v>
      </c>
      <c r="B927" s="11">
        <v>3.3164226979999998</v>
      </c>
      <c r="C927" s="17">
        <v>2.5408211349999998</v>
      </c>
      <c r="D927">
        <v>2.4700000000000002</v>
      </c>
      <c r="F927" s="25">
        <f t="shared" si="42"/>
        <v>15.716105658153895</v>
      </c>
      <c r="G927" s="29">
        <f t="shared" si="43"/>
        <v>10.998659511809597</v>
      </c>
      <c r="H927" s="31">
        <f t="shared" si="44"/>
        <v>6.455772040062687</v>
      </c>
    </row>
    <row r="928" spans="1:8" x14ac:dyDescent="0.3">
      <c r="A928" s="5">
        <v>1.2343211160000001</v>
      </c>
      <c r="B928" s="11">
        <v>1.8156097840000001</v>
      </c>
      <c r="C928" s="17">
        <v>2.4657804890000001</v>
      </c>
      <c r="D928">
        <v>2.4700000000000002</v>
      </c>
      <c r="F928" s="25">
        <f t="shared" si="42"/>
        <v>1.5235486174034856</v>
      </c>
      <c r="G928" s="29">
        <f t="shared" si="43"/>
        <v>3.2964388877565267</v>
      </c>
      <c r="H928" s="31">
        <f t="shared" si="44"/>
        <v>6.0800734199330799</v>
      </c>
    </row>
    <row r="929" spans="1:8" x14ac:dyDescent="0.3">
      <c r="A929" s="5">
        <v>1.6284676659999999</v>
      </c>
      <c r="B929" s="11">
        <v>2.0481630320000002</v>
      </c>
      <c r="C929" s="17">
        <v>2.4774081520000002</v>
      </c>
      <c r="D929">
        <v>2.4700000000000002</v>
      </c>
      <c r="F929" s="25">
        <f t="shared" si="42"/>
        <v>2.6519069392074872</v>
      </c>
      <c r="G929" s="29">
        <f t="shared" si="43"/>
        <v>4.1949718056514333</v>
      </c>
      <c r="H929" s="31">
        <f t="shared" si="44"/>
        <v>6.1375511515960559</v>
      </c>
    </row>
    <row r="930" spans="1:8" x14ac:dyDescent="0.3">
      <c r="A930" s="5">
        <v>3.9780877100000001</v>
      </c>
      <c r="B930" s="11">
        <v>3.326069027</v>
      </c>
      <c r="C930" s="17">
        <v>2.5413034510000001</v>
      </c>
      <c r="D930">
        <v>2.4700000000000002</v>
      </c>
      <c r="F930" s="25">
        <f t="shared" si="42"/>
        <v>15.825181828453044</v>
      </c>
      <c r="G930" s="29">
        <f t="shared" si="43"/>
        <v>11.062735172368727</v>
      </c>
      <c r="H930" s="31">
        <f t="shared" si="44"/>
        <v>6.4582232300645099</v>
      </c>
    </row>
    <row r="931" spans="1:8" x14ac:dyDescent="0.3">
      <c r="A931" s="5">
        <v>3.402508621</v>
      </c>
      <c r="B931" s="11">
        <v>2.9691014509999998</v>
      </c>
      <c r="C931" s="17">
        <v>2.523455073</v>
      </c>
      <c r="D931">
        <v>2.4700000000000002</v>
      </c>
      <c r="F931" s="25">
        <f t="shared" si="42"/>
        <v>11.577064915979321</v>
      </c>
      <c r="G931" s="29">
        <f t="shared" si="43"/>
        <v>8.8155634263303035</v>
      </c>
      <c r="H931" s="31">
        <f t="shared" si="44"/>
        <v>6.3678255054494359</v>
      </c>
    </row>
    <row r="932" spans="1:8" x14ac:dyDescent="0.3">
      <c r="A932" s="5">
        <v>2.0058290350000001</v>
      </c>
      <c r="B932" s="11">
        <v>2.249668405</v>
      </c>
      <c r="C932" s="17">
        <v>2.4874834199999998</v>
      </c>
      <c r="D932">
        <v>2.4700000000000002</v>
      </c>
      <c r="F932" s="25">
        <f t="shared" si="42"/>
        <v>4.0233501176490316</v>
      </c>
      <c r="G932" s="29">
        <f t="shared" si="43"/>
        <v>5.0610079324552437</v>
      </c>
      <c r="H932" s="31">
        <f t="shared" si="44"/>
        <v>6.1875737647748954</v>
      </c>
    </row>
    <row r="933" spans="1:8" x14ac:dyDescent="0.3">
      <c r="A933" s="5">
        <v>4.1760002439999999</v>
      </c>
      <c r="B933" s="11">
        <v>3.4749192029999998</v>
      </c>
      <c r="C933" s="17">
        <v>2.5487459600000002</v>
      </c>
      <c r="D933">
        <v>2.4700000000000002</v>
      </c>
      <c r="F933" s="25">
        <f t="shared" si="42"/>
        <v>17.438978037888059</v>
      </c>
      <c r="G933" s="29">
        <f t="shared" si="43"/>
        <v>12.075063467378154</v>
      </c>
      <c r="H933" s="31">
        <f t="shared" si="44"/>
        <v>6.4961059686163223</v>
      </c>
    </row>
    <row r="934" spans="1:8" x14ac:dyDescent="0.3">
      <c r="A934" s="5">
        <v>0.39246803200000002</v>
      </c>
      <c r="B934" s="11">
        <v>1.084721652</v>
      </c>
      <c r="C934" s="17">
        <v>2.4292360830000002</v>
      </c>
      <c r="D934">
        <v>2.4700000000000002</v>
      </c>
      <c r="F934" s="25">
        <f t="shared" si="42"/>
        <v>0.15403115614195304</v>
      </c>
      <c r="G934" s="29">
        <f t="shared" si="43"/>
        <v>1.1766210623176092</v>
      </c>
      <c r="H934" s="31">
        <f t="shared" si="44"/>
        <v>5.9011879469491832</v>
      </c>
    </row>
    <row r="935" spans="1:8" x14ac:dyDescent="0.3">
      <c r="A935" s="5">
        <v>1.059755242</v>
      </c>
      <c r="B935" s="11">
        <v>1.7003313309999999</v>
      </c>
      <c r="C935" s="17">
        <v>2.4600165669999998</v>
      </c>
      <c r="D935">
        <v>2.4700000000000002</v>
      </c>
      <c r="F935" s="25">
        <f t="shared" si="42"/>
        <v>1.1230811729464787</v>
      </c>
      <c r="G935" s="29">
        <f t="shared" si="43"/>
        <v>2.8911266351802314</v>
      </c>
      <c r="H935" s="31">
        <f t="shared" si="44"/>
        <v>6.0516815099144647</v>
      </c>
    </row>
    <row r="936" spans="1:8" x14ac:dyDescent="0.3">
      <c r="A936" s="5">
        <v>1.114841151</v>
      </c>
      <c r="B936" s="11">
        <v>1.7377934180000001</v>
      </c>
      <c r="C936" s="17">
        <v>2.4618896709999998</v>
      </c>
      <c r="D936">
        <v>2.4700000000000002</v>
      </c>
      <c r="F936" s="25">
        <f t="shared" si="42"/>
        <v>1.2428707919630049</v>
      </c>
      <c r="G936" s="29">
        <f t="shared" si="43"/>
        <v>3.0199259636441229</v>
      </c>
      <c r="H936" s="31">
        <f t="shared" si="44"/>
        <v>6.0609007521764875</v>
      </c>
    </row>
    <row r="937" spans="1:8" x14ac:dyDescent="0.3">
      <c r="A937" s="5">
        <v>2.256538591</v>
      </c>
      <c r="B937" s="11">
        <v>2.3776422670000001</v>
      </c>
      <c r="C937" s="17">
        <v>2.4938821130000002</v>
      </c>
      <c r="D937">
        <v>2.4700000000000002</v>
      </c>
      <c r="F937" s="25">
        <f t="shared" si="42"/>
        <v>5.0919664126722655</v>
      </c>
      <c r="G937" s="29">
        <f t="shared" si="43"/>
        <v>5.6531827498249001</v>
      </c>
      <c r="H937" s="31">
        <f t="shared" si="44"/>
        <v>6.2194479935413458</v>
      </c>
    </row>
    <row r="938" spans="1:8" x14ac:dyDescent="0.3">
      <c r="A938" s="5">
        <v>4.9766533400000004</v>
      </c>
      <c r="B938" s="11">
        <v>5.0994086169999999</v>
      </c>
      <c r="C938" s="17">
        <v>2.6299704309999998</v>
      </c>
      <c r="D938">
        <v>2.4700000000000002</v>
      </c>
      <c r="F938" s="25">
        <f t="shared" si="42"/>
        <v>24.76707846653316</v>
      </c>
      <c r="G938" s="29">
        <f t="shared" si="43"/>
        <v>26.003968243133851</v>
      </c>
      <c r="H938" s="31">
        <f t="shared" si="44"/>
        <v>6.9167444679343246</v>
      </c>
    </row>
    <row r="939" spans="1:8" x14ac:dyDescent="0.3">
      <c r="A939" s="5">
        <v>0.68300424199999998</v>
      </c>
      <c r="B939" s="11">
        <v>1.4042817110000001</v>
      </c>
      <c r="C939" s="17">
        <v>2.445214086</v>
      </c>
      <c r="D939">
        <v>2.4700000000000002</v>
      </c>
      <c r="F939" s="25">
        <f t="shared" si="42"/>
        <v>0.46649479458999454</v>
      </c>
      <c r="G939" s="29">
        <f t="shared" si="43"/>
        <v>1.9720071238490877</v>
      </c>
      <c r="H939" s="31">
        <f t="shared" si="44"/>
        <v>5.9790719263728151</v>
      </c>
    </row>
    <row r="940" spans="1:8" x14ac:dyDescent="0.3">
      <c r="A940" s="5">
        <v>2.5582140569999998</v>
      </c>
      <c r="B940" s="11">
        <v>2.5291879590000002</v>
      </c>
      <c r="C940" s="17">
        <v>2.5014593980000002</v>
      </c>
      <c r="D940">
        <v>2.4700000000000002</v>
      </c>
      <c r="F940" s="25">
        <f t="shared" si="42"/>
        <v>6.5444591614323979</v>
      </c>
      <c r="G940" s="29">
        <f t="shared" si="43"/>
        <v>6.3967917319505867</v>
      </c>
      <c r="H940" s="31">
        <f t="shared" si="44"/>
        <v>6.2572991198425232</v>
      </c>
    </row>
    <row r="941" spans="1:8" x14ac:dyDescent="0.3">
      <c r="A941" s="5">
        <v>0.66957609799999995</v>
      </c>
      <c r="B941" s="11">
        <v>1.391926225</v>
      </c>
      <c r="C941" s="17">
        <v>2.4445963110000002</v>
      </c>
      <c r="D941">
        <v>2.4700000000000002</v>
      </c>
      <c r="F941" s="25">
        <f t="shared" si="42"/>
        <v>0.44833215101290552</v>
      </c>
      <c r="G941" s="29">
        <f t="shared" si="43"/>
        <v>1.9374586158427505</v>
      </c>
      <c r="H941" s="31">
        <f t="shared" si="44"/>
        <v>5.97605112375481</v>
      </c>
    </row>
    <row r="942" spans="1:8" x14ac:dyDescent="0.3">
      <c r="A942" s="5">
        <v>0.46388134399999997</v>
      </c>
      <c r="B942" s="11">
        <v>1.176148607</v>
      </c>
      <c r="C942" s="17">
        <v>2.4338074299999999</v>
      </c>
      <c r="D942">
        <v>2.4700000000000002</v>
      </c>
      <c r="F942" s="25">
        <f t="shared" si="42"/>
        <v>0.21518590131124632</v>
      </c>
      <c r="G942" s="29">
        <f t="shared" si="43"/>
        <v>1.3833255457480405</v>
      </c>
      <c r="H942" s="31">
        <f t="shared" si="44"/>
        <v>5.9234186063232039</v>
      </c>
    </row>
    <row r="943" spans="1:8" x14ac:dyDescent="0.3">
      <c r="A943" s="5">
        <v>0.17715994800000001</v>
      </c>
      <c r="B943" s="11">
        <v>0.69365257300000005</v>
      </c>
      <c r="C943" s="17">
        <v>2.4096826290000002</v>
      </c>
      <c r="D943">
        <v>2.4700000000000002</v>
      </c>
      <c r="F943" s="25">
        <f t="shared" si="42"/>
        <v>3.1385647175362706E-2</v>
      </c>
      <c r="G943" s="29">
        <f t="shared" si="43"/>
        <v>0.48115389202952041</v>
      </c>
      <c r="H943" s="31">
        <f t="shared" si="44"/>
        <v>5.8065703725043525</v>
      </c>
    </row>
    <row r="944" spans="1:8" x14ac:dyDescent="0.3">
      <c r="A944" s="5">
        <v>1.80242317</v>
      </c>
      <c r="B944" s="11">
        <v>2.1428368830000002</v>
      </c>
      <c r="C944" s="17">
        <v>2.482141844</v>
      </c>
      <c r="D944">
        <v>2.4700000000000002</v>
      </c>
      <c r="F944" s="25">
        <f t="shared" si="42"/>
        <v>3.2487292837528488</v>
      </c>
      <c r="G944" s="29">
        <f t="shared" si="43"/>
        <v>4.5917499071451564</v>
      </c>
      <c r="H944" s="31">
        <f t="shared" si="44"/>
        <v>6.1610281337357202</v>
      </c>
    </row>
    <row r="945" spans="1:8" x14ac:dyDescent="0.3">
      <c r="A945" s="5">
        <v>2.9688406020000002</v>
      </c>
      <c r="B945" s="11">
        <v>2.737248514</v>
      </c>
      <c r="C945" s="17">
        <v>2.511862426</v>
      </c>
      <c r="D945">
        <v>2.4700000000000002</v>
      </c>
      <c r="F945" s="25">
        <f t="shared" si="42"/>
        <v>8.8140145200837239</v>
      </c>
      <c r="G945" s="29">
        <f t="shared" si="43"/>
        <v>7.4925294273952083</v>
      </c>
      <c r="H945" s="31">
        <f t="shared" si="44"/>
        <v>6.3094528471506051</v>
      </c>
    </row>
    <row r="946" spans="1:8" x14ac:dyDescent="0.3">
      <c r="A946" s="5">
        <v>3.8315988650000001</v>
      </c>
      <c r="B946" s="11">
        <v>3.2267794900000002</v>
      </c>
      <c r="C946" s="17">
        <v>2.536338974</v>
      </c>
      <c r="D946">
        <v>2.4700000000000002</v>
      </c>
      <c r="F946" s="25">
        <f t="shared" si="42"/>
        <v>14.681149862269288</v>
      </c>
      <c r="G946" s="29">
        <f t="shared" si="43"/>
        <v>10.412105877084661</v>
      </c>
      <c r="H946" s="31">
        <f t="shared" si="44"/>
        <v>6.4330153910313728</v>
      </c>
    </row>
    <row r="947" spans="1:8" x14ac:dyDescent="0.3">
      <c r="A947" s="5">
        <v>3.1937620170000001</v>
      </c>
      <c r="B947" s="11">
        <v>2.8551258490000002</v>
      </c>
      <c r="C947" s="17">
        <v>2.5177562920000001</v>
      </c>
      <c r="D947">
        <v>2.4700000000000002</v>
      </c>
      <c r="F947" s="25">
        <f t="shared" si="42"/>
        <v>10.200115821231909</v>
      </c>
      <c r="G947" s="29">
        <f t="shared" si="43"/>
        <v>8.1517436136279713</v>
      </c>
      <c r="H947" s="31">
        <f t="shared" si="44"/>
        <v>6.3390967459055894</v>
      </c>
    </row>
    <row r="948" spans="1:8" x14ac:dyDescent="0.3">
      <c r="A948" s="5">
        <v>1.6461684009999999</v>
      </c>
      <c r="B948" s="11">
        <v>2.0579696589999998</v>
      </c>
      <c r="C948" s="17">
        <v>2.4778984830000002</v>
      </c>
      <c r="D948">
        <v>2.4700000000000002</v>
      </c>
      <c r="F948" s="25">
        <f t="shared" si="42"/>
        <v>2.7098704044508968</v>
      </c>
      <c r="G948" s="29">
        <f t="shared" si="43"/>
        <v>4.2352391173645758</v>
      </c>
      <c r="H948" s="31">
        <f t="shared" si="44"/>
        <v>6.1399808920537025</v>
      </c>
    </row>
    <row r="949" spans="1:8" x14ac:dyDescent="0.3">
      <c r="A949" s="5">
        <v>2.0009460739999998</v>
      </c>
      <c r="B949" s="11">
        <v>2.2471422830000001</v>
      </c>
      <c r="C949" s="17">
        <v>2.4873571139999999</v>
      </c>
      <c r="D949">
        <v>2.4700000000000002</v>
      </c>
      <c r="F949" s="25">
        <f t="shared" si="42"/>
        <v>4.0037851910560125</v>
      </c>
      <c r="G949" s="29">
        <f t="shared" si="43"/>
        <v>5.0496484400464521</v>
      </c>
      <c r="H949" s="31">
        <f t="shared" si="44"/>
        <v>6.1869454125664083</v>
      </c>
    </row>
    <row r="950" spans="1:8" x14ac:dyDescent="0.3">
      <c r="A950" s="5">
        <v>0.31189916699999998</v>
      </c>
      <c r="B950" s="11">
        <v>0.96490027300000003</v>
      </c>
      <c r="C950" s="17">
        <v>2.4232450139999999</v>
      </c>
      <c r="D950">
        <v>2.4700000000000002</v>
      </c>
      <c r="F950" s="25">
        <f t="shared" si="42"/>
        <v>9.728109037529388E-2</v>
      </c>
      <c r="G950" s="29">
        <f t="shared" si="43"/>
        <v>0.9310325368354746</v>
      </c>
      <c r="H950" s="31">
        <f t="shared" si="44"/>
        <v>5.8721163978758595</v>
      </c>
    </row>
    <row r="951" spans="1:8" x14ac:dyDescent="0.3">
      <c r="A951" s="5">
        <v>0.219428083</v>
      </c>
      <c r="B951" s="11">
        <v>0.79272383099999999</v>
      </c>
      <c r="C951" s="17">
        <v>2.4146361920000001</v>
      </c>
      <c r="D951">
        <v>2.4700000000000002</v>
      </c>
      <c r="F951" s="25">
        <f t="shared" si="42"/>
        <v>4.8148683609054888E-2</v>
      </c>
      <c r="G951" s="29">
        <f t="shared" si="43"/>
        <v>0.62841107223531656</v>
      </c>
      <c r="H951" s="31">
        <f t="shared" si="44"/>
        <v>5.8304679397162618</v>
      </c>
    </row>
    <row r="952" spans="1:8" x14ac:dyDescent="0.3">
      <c r="A952" s="5">
        <v>4.5771660509999998</v>
      </c>
      <c r="B952" s="11">
        <v>3.8749922799999998</v>
      </c>
      <c r="C952" s="17">
        <v>2.5687496140000001</v>
      </c>
      <c r="D952">
        <v>2.4700000000000002</v>
      </c>
      <c r="F952" s="25">
        <f t="shared" si="42"/>
        <v>20.950449058426933</v>
      </c>
      <c r="G952" s="29">
        <f t="shared" si="43"/>
        <v>15.015565170059597</v>
      </c>
      <c r="H952" s="31">
        <f t="shared" si="44"/>
        <v>6.59847457942515</v>
      </c>
    </row>
    <row r="953" spans="1:8" x14ac:dyDescent="0.3">
      <c r="A953" s="5">
        <v>0.96026490099999995</v>
      </c>
      <c r="B953" s="11">
        <v>1.6296442659999999</v>
      </c>
      <c r="C953" s="17">
        <v>2.4564822130000001</v>
      </c>
      <c r="D953">
        <v>2.4700000000000002</v>
      </c>
      <c r="F953" s="25">
        <f t="shared" si="42"/>
        <v>0.92210868009253966</v>
      </c>
      <c r="G953" s="29">
        <f t="shared" si="43"/>
        <v>2.6557404337066783</v>
      </c>
      <c r="H953" s="31">
        <f t="shared" si="44"/>
        <v>6.0343048627853779</v>
      </c>
    </row>
    <row r="954" spans="1:8" x14ac:dyDescent="0.3">
      <c r="A954" s="5">
        <v>0.85192419200000002</v>
      </c>
      <c r="B954" s="11">
        <v>1.5473543219999999</v>
      </c>
      <c r="C954" s="17">
        <v>2.4523677159999999</v>
      </c>
      <c r="D954">
        <v>2.4700000000000002</v>
      </c>
      <c r="F954" s="25">
        <f t="shared" si="42"/>
        <v>0.7257748289148529</v>
      </c>
      <c r="G954" s="29">
        <f t="shared" si="43"/>
        <v>2.3943053978120794</v>
      </c>
      <c r="H954" s="31">
        <f t="shared" si="44"/>
        <v>6.0141074144790565</v>
      </c>
    </row>
    <row r="955" spans="1:8" x14ac:dyDescent="0.3">
      <c r="A955" s="5">
        <v>4.3241676079999998</v>
      </c>
      <c r="B955" s="11">
        <v>3.60229621</v>
      </c>
      <c r="C955" s="17">
        <v>2.5551148100000001</v>
      </c>
      <c r="D955">
        <v>2.4700000000000002</v>
      </c>
      <c r="F955" s="25">
        <f t="shared" si="42"/>
        <v>18.698425502076439</v>
      </c>
      <c r="G955" s="29">
        <f t="shared" si="43"/>
        <v>12.976537984580364</v>
      </c>
      <c r="H955" s="31">
        <f t="shared" si="44"/>
        <v>6.5286116922813369</v>
      </c>
    </row>
    <row r="956" spans="1:8" x14ac:dyDescent="0.3">
      <c r="A956" s="5">
        <v>1.153141881</v>
      </c>
      <c r="B956" s="11">
        <v>1.7632206159999999</v>
      </c>
      <c r="C956" s="17">
        <v>2.4631610309999998</v>
      </c>
      <c r="D956">
        <v>2.4700000000000002</v>
      </c>
      <c r="F956" s="25">
        <f t="shared" si="42"/>
        <v>1.3297361977162183</v>
      </c>
      <c r="G956" s="29">
        <f t="shared" si="43"/>
        <v>3.1089469406874191</v>
      </c>
      <c r="H956" s="31">
        <f t="shared" si="44"/>
        <v>6.0671622646369823</v>
      </c>
    </row>
    <row r="957" spans="1:8" x14ac:dyDescent="0.3">
      <c r="A957" s="5">
        <v>1.367839595</v>
      </c>
      <c r="B957" s="11">
        <v>1.8979417919999999</v>
      </c>
      <c r="C957" s="17">
        <v>2.4698970899999999</v>
      </c>
      <c r="D957">
        <v>2.4700000000000002</v>
      </c>
      <c r="F957" s="25">
        <f t="shared" si="42"/>
        <v>1.870985157649764</v>
      </c>
      <c r="G957" s="29">
        <f t="shared" si="43"/>
        <v>3.6021830458201709</v>
      </c>
      <c r="H957" s="31">
        <f t="shared" si="44"/>
        <v>6.1003916351904675</v>
      </c>
    </row>
    <row r="958" spans="1:8" x14ac:dyDescent="0.3">
      <c r="A958" s="5">
        <v>3.800622578</v>
      </c>
      <c r="B958" s="11">
        <v>3.2067023940000001</v>
      </c>
      <c r="C958" s="17">
        <v>2.5353351200000001</v>
      </c>
      <c r="D958">
        <v>2.4700000000000002</v>
      </c>
      <c r="F958" s="25">
        <f t="shared" si="42"/>
        <v>14.444731980403366</v>
      </c>
      <c r="G958" s="29">
        <f t="shared" si="43"/>
        <v>10.282940243685331</v>
      </c>
      <c r="H958" s="31">
        <f t="shared" si="44"/>
        <v>6.4279241707054151</v>
      </c>
    </row>
    <row r="959" spans="1:8" x14ac:dyDescent="0.3">
      <c r="A959" s="5">
        <v>4.2231513410000003</v>
      </c>
      <c r="B959" s="11">
        <v>3.5136727720000001</v>
      </c>
      <c r="C959" s="17">
        <v>2.5506836389999998</v>
      </c>
      <c r="D959">
        <v>2.4700000000000002</v>
      </c>
      <c r="F959" s="25">
        <f t="shared" si="42"/>
        <v>17.835007248990102</v>
      </c>
      <c r="G959" s="29">
        <f t="shared" si="43"/>
        <v>12.345896348694165</v>
      </c>
      <c r="H959" s="31">
        <f t="shared" si="44"/>
        <v>6.5059870262622814</v>
      </c>
    </row>
    <row r="960" spans="1:8" x14ac:dyDescent="0.3">
      <c r="A960" s="5">
        <v>1.442152165</v>
      </c>
      <c r="B960" s="11">
        <v>1.9420249999999999</v>
      </c>
      <c r="C960" s="17">
        <v>2.4721012500000001</v>
      </c>
      <c r="D960">
        <v>2.4700000000000002</v>
      </c>
      <c r="F960" s="25">
        <f t="shared" si="42"/>
        <v>2.079802867014187</v>
      </c>
      <c r="G960" s="29">
        <f t="shared" si="43"/>
        <v>3.7714611006249994</v>
      </c>
      <c r="H960" s="31">
        <f t="shared" si="44"/>
        <v>6.1112845902515636</v>
      </c>
    </row>
    <row r="961" spans="1:8" x14ac:dyDescent="0.3">
      <c r="A961" s="5">
        <v>1.8813135169999999</v>
      </c>
      <c r="B961" s="11">
        <v>2.184688419</v>
      </c>
      <c r="C961" s="17">
        <v>2.484234421</v>
      </c>
      <c r="D961">
        <v>2.4700000000000002</v>
      </c>
      <c r="F961" s="25">
        <f t="shared" si="42"/>
        <v>3.539340549246909</v>
      </c>
      <c r="G961" s="29">
        <f t="shared" si="43"/>
        <v>4.7728634881127192</v>
      </c>
      <c r="H961" s="31">
        <f t="shared" si="44"/>
        <v>6.171420658481205</v>
      </c>
    </row>
    <row r="962" spans="1:8" x14ac:dyDescent="0.3">
      <c r="A962" s="5">
        <v>4.1064180429999997</v>
      </c>
      <c r="B962" s="11">
        <v>3.4202676670000001</v>
      </c>
      <c r="C962" s="17">
        <v>2.546013383</v>
      </c>
      <c r="D962">
        <v>2.4700000000000002</v>
      </c>
      <c r="F962" s="25">
        <f t="shared" si="42"/>
        <v>16.862669143875948</v>
      </c>
      <c r="G962" s="29">
        <f t="shared" si="43"/>
        <v>11.698230913925624</v>
      </c>
      <c r="H962" s="31">
        <f t="shared" si="44"/>
        <v>6.4821841464151051</v>
      </c>
    </row>
    <row r="963" spans="1:8" x14ac:dyDescent="0.3">
      <c r="A963" s="5">
        <v>4.8098696859999999</v>
      </c>
      <c r="B963" s="11">
        <v>4.2740694599999998</v>
      </c>
      <c r="C963" s="17">
        <v>2.5887034729999998</v>
      </c>
      <c r="D963">
        <v>2.4700000000000002</v>
      </c>
      <c r="F963" s="25">
        <f t="shared" ref="F963:F1001" si="45">POWER(A963,2)</f>
        <v>23.134846396301736</v>
      </c>
      <c r="G963" s="29">
        <f t="shared" ref="G963:G1001" si="46">POWER(B963,2)</f>
        <v>18.267669748904691</v>
      </c>
      <c r="H963" s="31">
        <f t="shared" ref="H963:H1001" si="47">POWER(C963,2)</f>
        <v>6.701385671122261</v>
      </c>
    </row>
    <row r="964" spans="1:8" x14ac:dyDescent="0.3">
      <c r="A964" s="5">
        <v>4.0473647269999997</v>
      </c>
      <c r="B964" s="11">
        <v>3.3759548110000002</v>
      </c>
      <c r="C964" s="17">
        <v>2.5437977410000001</v>
      </c>
      <c r="D964">
        <v>2.4700000000000002</v>
      </c>
      <c r="F964" s="25">
        <f t="shared" si="45"/>
        <v>16.381161233363784</v>
      </c>
      <c r="G964" s="29">
        <f t="shared" si="46"/>
        <v>11.397070885914047</v>
      </c>
      <c r="H964" s="31">
        <f t="shared" si="47"/>
        <v>6.4709069471167036</v>
      </c>
    </row>
    <row r="965" spans="1:8" x14ac:dyDescent="0.3">
      <c r="A965" s="5">
        <v>4.3392742699999998</v>
      </c>
      <c r="B965" s="11">
        <v>3.6163092489999999</v>
      </c>
      <c r="C965" s="17">
        <v>2.555815462</v>
      </c>
      <c r="D965">
        <v>2.4700000000000002</v>
      </c>
      <c r="F965" s="25">
        <f t="shared" si="45"/>
        <v>18.829301190284031</v>
      </c>
      <c r="G965" s="29">
        <f t="shared" si="46"/>
        <v>13.077692584402943</v>
      </c>
      <c r="H965" s="31">
        <f t="shared" si="47"/>
        <v>6.5321926757982736</v>
      </c>
    </row>
    <row r="966" spans="1:8" x14ac:dyDescent="0.3">
      <c r="A966" s="5">
        <v>0.80538346500000002</v>
      </c>
      <c r="B966" s="11">
        <v>1.5099581740000001</v>
      </c>
      <c r="C966" s="17">
        <v>2.4504979090000001</v>
      </c>
      <c r="D966">
        <v>2.4700000000000002</v>
      </c>
      <c r="F966" s="25">
        <f t="shared" si="45"/>
        <v>0.64864252569540626</v>
      </c>
      <c r="G966" s="29">
        <f t="shared" si="46"/>
        <v>2.2799736872294147</v>
      </c>
      <c r="H966" s="31">
        <f t="shared" si="47"/>
        <v>6.004940002013373</v>
      </c>
    </row>
    <row r="967" spans="1:8" x14ac:dyDescent="0.3">
      <c r="A967" s="5">
        <v>2.8157902770000001</v>
      </c>
      <c r="B967" s="11">
        <v>2.6589808110000002</v>
      </c>
      <c r="C967" s="17">
        <v>2.5079490409999998</v>
      </c>
      <c r="D967">
        <v>2.4700000000000002</v>
      </c>
      <c r="F967" s="25">
        <f t="shared" si="45"/>
        <v>7.9286748840477372</v>
      </c>
      <c r="G967" s="29">
        <f t="shared" si="46"/>
        <v>7.0701789532662183</v>
      </c>
      <c r="H967" s="31">
        <f t="shared" si="47"/>
        <v>6.2898083922528185</v>
      </c>
    </row>
    <row r="968" spans="1:8" x14ac:dyDescent="0.3">
      <c r="A968" s="5">
        <v>4.7532578509999999</v>
      </c>
      <c r="B968" s="11">
        <v>4.1512058209999996</v>
      </c>
      <c r="C968" s="17">
        <v>2.5825602910000001</v>
      </c>
      <c r="D968">
        <v>2.4700000000000002</v>
      </c>
      <c r="F968" s="25">
        <f t="shared" si="45"/>
        <v>22.593460198093137</v>
      </c>
      <c r="G968" s="29">
        <f t="shared" si="46"/>
        <v>17.232509768304279</v>
      </c>
      <c r="H968" s="31">
        <f t="shared" si="47"/>
        <v>6.6696176566500052</v>
      </c>
    </row>
    <row r="969" spans="1:8" x14ac:dyDescent="0.3">
      <c r="A969" s="5">
        <v>0.95065157</v>
      </c>
      <c r="B969" s="11">
        <v>1.622583176</v>
      </c>
      <c r="C969" s="17">
        <v>2.4561291590000001</v>
      </c>
      <c r="D969">
        <v>2.4700000000000002</v>
      </c>
      <c r="F969" s="25">
        <f t="shared" si="45"/>
        <v>0.90373840754346491</v>
      </c>
      <c r="G969" s="29">
        <f t="shared" si="46"/>
        <v>2.6327761630382471</v>
      </c>
      <c r="H969" s="31">
        <f t="shared" si="47"/>
        <v>6.0325704456900473</v>
      </c>
    </row>
    <row r="970" spans="1:8" x14ac:dyDescent="0.3">
      <c r="A970" s="5">
        <v>1.082644124</v>
      </c>
      <c r="B970" s="11">
        <v>1.716029209</v>
      </c>
      <c r="C970" s="17">
        <v>2.4608014599999999</v>
      </c>
      <c r="D970">
        <v>2.4700000000000002</v>
      </c>
      <c r="F970" s="25">
        <f t="shared" si="45"/>
        <v>1.1721182992317274</v>
      </c>
      <c r="G970" s="29">
        <f t="shared" si="46"/>
        <v>2.9447562461411656</v>
      </c>
      <c r="H970" s="31">
        <f t="shared" si="47"/>
        <v>6.0555438255381313</v>
      </c>
    </row>
    <row r="971" spans="1:8" x14ac:dyDescent="0.3">
      <c r="A971" s="5">
        <v>2.7532273319999998</v>
      </c>
      <c r="B971" s="11">
        <v>2.627292878</v>
      </c>
      <c r="C971" s="17">
        <v>2.506364644</v>
      </c>
      <c r="D971">
        <v>2.4700000000000002</v>
      </c>
      <c r="F971" s="25">
        <f t="shared" si="45"/>
        <v>7.5802607416718368</v>
      </c>
      <c r="G971" s="29">
        <f t="shared" si="46"/>
        <v>6.9026678667895229</v>
      </c>
      <c r="H971" s="31">
        <f t="shared" si="47"/>
        <v>6.2818637286932466</v>
      </c>
    </row>
    <row r="972" spans="1:8" x14ac:dyDescent="0.3">
      <c r="A972" s="5">
        <v>4.3221839050000002</v>
      </c>
      <c r="B972" s="11">
        <v>3.6004726730000001</v>
      </c>
      <c r="C972" s="17">
        <v>2.5550236339999999</v>
      </c>
      <c r="D972">
        <v>2.4700000000000002</v>
      </c>
      <c r="F972" s="25">
        <f t="shared" si="45"/>
        <v>18.681273708641051</v>
      </c>
      <c r="G972" s="29">
        <f t="shared" si="46"/>
        <v>12.963403469019765</v>
      </c>
      <c r="H972" s="31">
        <f t="shared" si="47"/>
        <v>6.5281457702985657</v>
      </c>
    </row>
    <row r="973" spans="1:8" x14ac:dyDescent="0.3">
      <c r="A973" s="5">
        <v>4.0308847319999996</v>
      </c>
      <c r="B973" s="11">
        <v>3.363894911</v>
      </c>
      <c r="C973" s="17">
        <v>2.5431947460000002</v>
      </c>
      <c r="D973">
        <v>2.4700000000000002</v>
      </c>
      <c r="F973" s="25">
        <f t="shared" si="45"/>
        <v>16.24803172267071</v>
      </c>
      <c r="G973" s="29">
        <f t="shared" si="46"/>
        <v>11.315788972251697</v>
      </c>
      <c r="H973" s="31">
        <f t="shared" si="47"/>
        <v>6.4678395160820052</v>
      </c>
    </row>
    <row r="974" spans="1:8" x14ac:dyDescent="0.3">
      <c r="A974" s="5">
        <v>1.6856898709999999</v>
      </c>
      <c r="B974" s="11">
        <v>2.079713403</v>
      </c>
      <c r="C974" s="17">
        <v>2.4789856700000001</v>
      </c>
      <c r="D974">
        <v>2.4700000000000002</v>
      </c>
      <c r="F974" s="25">
        <f t="shared" si="45"/>
        <v>2.8415503411919962</v>
      </c>
      <c r="G974" s="29">
        <f t="shared" si="46"/>
        <v>4.3252078386178399</v>
      </c>
      <c r="H974" s="31">
        <f t="shared" si="47"/>
        <v>6.1453699520653498</v>
      </c>
    </row>
    <row r="975" spans="1:8" x14ac:dyDescent="0.3">
      <c r="A975" s="5">
        <v>0.79805902299999998</v>
      </c>
      <c r="B975" s="11">
        <v>1.50394414</v>
      </c>
      <c r="C975" s="17">
        <v>2.450197207</v>
      </c>
      <c r="D975">
        <v>2.4700000000000002</v>
      </c>
      <c r="F975" s="25">
        <f t="shared" si="45"/>
        <v>0.6368982041917145</v>
      </c>
      <c r="G975" s="29">
        <f t="shared" si="46"/>
        <v>2.2618479762403396</v>
      </c>
      <c r="H975" s="31">
        <f t="shared" si="47"/>
        <v>6.0034663531906007</v>
      </c>
    </row>
    <row r="976" spans="1:8" x14ac:dyDescent="0.3">
      <c r="A976" s="5">
        <v>2.4715414899999999</v>
      </c>
      <c r="B976" s="11">
        <v>2.4857323020000002</v>
      </c>
      <c r="C976" s="17">
        <v>2.4992866149999999</v>
      </c>
      <c r="D976">
        <v>2.4700000000000002</v>
      </c>
      <c r="F976" s="25">
        <f t="shared" si="45"/>
        <v>6.1085173367914196</v>
      </c>
      <c r="G976" s="29">
        <f t="shared" si="46"/>
        <v>6.1788650772062201</v>
      </c>
      <c r="H976" s="31">
        <f t="shared" si="47"/>
        <v>6.246433583918158</v>
      </c>
    </row>
    <row r="977" spans="1:8" x14ac:dyDescent="0.3">
      <c r="A977" s="5">
        <v>2.1939756460000002</v>
      </c>
      <c r="B977" s="11">
        <v>2.3459747989999999</v>
      </c>
      <c r="C977" s="17">
        <v>2.4922987399999998</v>
      </c>
      <c r="D977">
        <v>2.4700000000000002</v>
      </c>
      <c r="F977" s="25">
        <f t="shared" si="45"/>
        <v>4.8135291352411178</v>
      </c>
      <c r="G977" s="29">
        <f t="shared" si="46"/>
        <v>5.5035977575430906</v>
      </c>
      <c r="H977" s="31">
        <f t="shared" si="47"/>
        <v>6.2115530094055869</v>
      </c>
    </row>
    <row r="978" spans="1:8" x14ac:dyDescent="0.3">
      <c r="A978" s="5">
        <v>0.97369304499999998</v>
      </c>
      <c r="B978" s="11">
        <v>1.6394338390000001</v>
      </c>
      <c r="C978" s="17">
        <v>2.4569716920000002</v>
      </c>
      <c r="D978">
        <v>2.4700000000000002</v>
      </c>
      <c r="F978" s="25">
        <f t="shared" si="45"/>
        <v>0.94807814588137196</v>
      </c>
      <c r="G978" s="29">
        <f t="shared" si="46"/>
        <v>2.6877433124582781</v>
      </c>
      <c r="H978" s="31">
        <f t="shared" si="47"/>
        <v>6.0367098952893441</v>
      </c>
    </row>
    <row r="979" spans="1:8" x14ac:dyDescent="0.3">
      <c r="A979" s="5">
        <v>1.767632069</v>
      </c>
      <c r="B979" s="11">
        <v>2.1241831470000001</v>
      </c>
      <c r="C979" s="17">
        <v>2.4812091569999999</v>
      </c>
      <c r="D979">
        <v>2.4700000000000002</v>
      </c>
      <c r="F979" s="25">
        <f t="shared" si="45"/>
        <v>3.124523131357221</v>
      </c>
      <c r="G979" s="29">
        <f t="shared" si="46"/>
        <v>4.5121540419988238</v>
      </c>
      <c r="H979" s="31">
        <f t="shared" si="47"/>
        <v>6.1563988807806505</v>
      </c>
    </row>
    <row r="980" spans="1:8" x14ac:dyDescent="0.3">
      <c r="A980" s="5">
        <v>2.5643177590000001</v>
      </c>
      <c r="B980" s="11">
        <v>2.532249545</v>
      </c>
      <c r="C980" s="17">
        <v>2.5016124770000001</v>
      </c>
      <c r="D980">
        <v>2.4700000000000002</v>
      </c>
      <c r="F980" s="25">
        <f t="shared" si="45"/>
        <v>6.5757255691227829</v>
      </c>
      <c r="G980" s="29">
        <f t="shared" si="46"/>
        <v>6.4122877581527069</v>
      </c>
      <c r="H980" s="31">
        <f t="shared" si="47"/>
        <v>6.2580649850820764</v>
      </c>
    </row>
    <row r="981" spans="1:8" x14ac:dyDescent="0.3">
      <c r="A981" s="5">
        <v>4.4064149910000001</v>
      </c>
      <c r="B981" s="11">
        <v>3.681424523</v>
      </c>
      <c r="C981" s="17">
        <v>2.5590712259999999</v>
      </c>
      <c r="D981">
        <v>2.4700000000000002</v>
      </c>
      <c r="F981" s="25">
        <f t="shared" si="45"/>
        <v>19.416493072909532</v>
      </c>
      <c r="G981" s="29">
        <f t="shared" si="46"/>
        <v>13.552886518545778</v>
      </c>
      <c r="H981" s="31">
        <f t="shared" si="47"/>
        <v>6.5488455397411425</v>
      </c>
    </row>
    <row r="982" spans="1:8" x14ac:dyDescent="0.3">
      <c r="A982" s="5">
        <v>2.3825800350000002</v>
      </c>
      <c r="B982" s="11">
        <v>2.4411011230000002</v>
      </c>
      <c r="C982" s="17">
        <v>2.4970550560000002</v>
      </c>
      <c r="D982">
        <v>2.4700000000000002</v>
      </c>
      <c r="F982" s="25">
        <f t="shared" si="45"/>
        <v>5.6766876231806016</v>
      </c>
      <c r="G982" s="29">
        <f t="shared" si="46"/>
        <v>5.9589746927118616</v>
      </c>
      <c r="H982" s="31">
        <f t="shared" si="47"/>
        <v>6.2352839526951644</v>
      </c>
    </row>
    <row r="983" spans="1:8" x14ac:dyDescent="0.3">
      <c r="A983" s="5">
        <v>1.850642415</v>
      </c>
      <c r="B983" s="11">
        <v>2.1684869070000001</v>
      </c>
      <c r="C983" s="17">
        <v>2.483424345</v>
      </c>
      <c r="D983">
        <v>2.4700000000000002</v>
      </c>
      <c r="F983" s="25">
        <f t="shared" si="45"/>
        <v>3.4248773481970325</v>
      </c>
      <c r="G983" s="29">
        <f t="shared" si="46"/>
        <v>4.7023354658304273</v>
      </c>
      <c r="H983" s="31">
        <f t="shared" si="47"/>
        <v>6.1673964773386789</v>
      </c>
    </row>
    <row r="984" spans="1:8" x14ac:dyDescent="0.3">
      <c r="A984" s="5">
        <v>4.0438550979999999</v>
      </c>
      <c r="B984" s="11">
        <v>3.373376393</v>
      </c>
      <c r="C984" s="17">
        <v>2.5436688200000002</v>
      </c>
      <c r="D984">
        <v>2.4700000000000002</v>
      </c>
      <c r="F984" s="25">
        <f t="shared" si="45"/>
        <v>16.352764053620589</v>
      </c>
      <c r="G984" s="29">
        <f t="shared" si="46"/>
        <v>11.379668288849691</v>
      </c>
      <c r="H984" s="31">
        <f t="shared" si="47"/>
        <v>6.470251065840193</v>
      </c>
    </row>
    <row r="985" spans="1:8" x14ac:dyDescent="0.3">
      <c r="A985" s="5">
        <v>0.80690939100000003</v>
      </c>
      <c r="B985" s="11">
        <v>1.5112064549999999</v>
      </c>
      <c r="C985" s="17">
        <v>2.4505603229999999</v>
      </c>
      <c r="D985">
        <v>2.4700000000000002</v>
      </c>
      <c r="F985" s="25">
        <f t="shared" si="45"/>
        <v>0.65110276528399091</v>
      </c>
      <c r="G985" s="29">
        <f t="shared" si="46"/>
        <v>2.2837449496336668</v>
      </c>
      <c r="H985" s="31">
        <f t="shared" si="47"/>
        <v>6.0052458966618643</v>
      </c>
    </row>
    <row r="986" spans="1:8" x14ac:dyDescent="0.3">
      <c r="A986" s="5">
        <v>2.5872066409999999</v>
      </c>
      <c r="B986" s="11">
        <v>2.543733053</v>
      </c>
      <c r="C986" s="17">
        <v>2.5021866529999999</v>
      </c>
      <c r="D986">
        <v>2.4700000000000002</v>
      </c>
      <c r="F986" s="25">
        <f t="shared" si="45"/>
        <v>6.6936382032345021</v>
      </c>
      <c r="G986" s="29">
        <f t="shared" si="46"/>
        <v>6.4705778449247005</v>
      </c>
      <c r="H986" s="31">
        <f t="shared" si="47"/>
        <v>6.2609380464513418</v>
      </c>
    </row>
    <row r="987" spans="1:8" x14ac:dyDescent="0.3">
      <c r="A987" s="5">
        <v>2.2463148899999998</v>
      </c>
      <c r="B987" s="11">
        <v>2.3724763370000002</v>
      </c>
      <c r="C987" s="17">
        <v>2.493623817</v>
      </c>
      <c r="D987">
        <v>2.4700000000000002</v>
      </c>
      <c r="F987" s="25">
        <f t="shared" si="45"/>
        <v>5.0459305850357117</v>
      </c>
      <c r="G987" s="29">
        <f t="shared" si="46"/>
        <v>5.628643969624938</v>
      </c>
      <c r="H987" s="31">
        <f t="shared" si="47"/>
        <v>6.2181597407096492</v>
      </c>
    </row>
    <row r="988" spans="1:8" x14ac:dyDescent="0.3">
      <c r="A988" s="5">
        <v>2.1437726979999998</v>
      </c>
      <c r="B988" s="11">
        <v>2.3204543769999999</v>
      </c>
      <c r="C988" s="17">
        <v>2.4910227190000001</v>
      </c>
      <c r="D988">
        <v>2.4700000000000002</v>
      </c>
      <c r="F988" s="25">
        <f t="shared" si="45"/>
        <v>4.595761380690198</v>
      </c>
      <c r="G988" s="29">
        <f t="shared" si="46"/>
        <v>5.3845085157384576</v>
      </c>
      <c r="H988" s="31">
        <f t="shared" si="47"/>
        <v>6.2051941865741531</v>
      </c>
    </row>
    <row r="989" spans="1:8" x14ac:dyDescent="0.3">
      <c r="A989" s="5">
        <v>1.7027802359999999</v>
      </c>
      <c r="B989" s="11">
        <v>2.089053914</v>
      </c>
      <c r="C989" s="17">
        <v>2.4794526960000001</v>
      </c>
      <c r="D989">
        <v>2.4700000000000002</v>
      </c>
      <c r="F989" s="25">
        <f t="shared" si="45"/>
        <v>2.8994605321122155</v>
      </c>
      <c r="G989" s="29">
        <f t="shared" si="46"/>
        <v>4.3641462555987189</v>
      </c>
      <c r="H989" s="31">
        <f t="shared" si="47"/>
        <v>6.1476856717016686</v>
      </c>
    </row>
    <row r="990" spans="1:8" x14ac:dyDescent="0.3">
      <c r="A990" s="5">
        <v>0.14160588399999999</v>
      </c>
      <c r="B990" s="11">
        <v>0.59394466899999998</v>
      </c>
      <c r="C990" s="17">
        <v>2.4046972329999998</v>
      </c>
      <c r="D990">
        <v>2.4700000000000002</v>
      </c>
      <c r="F990" s="25">
        <f t="shared" si="45"/>
        <v>2.0052226383421454E-2</v>
      </c>
      <c r="G990" s="29">
        <f t="shared" si="46"/>
        <v>0.35277026983351956</v>
      </c>
      <c r="H990" s="31">
        <f t="shared" si="47"/>
        <v>5.7825687823978553</v>
      </c>
    </row>
    <row r="991" spans="1:8" x14ac:dyDescent="0.3">
      <c r="A991" s="5">
        <v>1.366008484</v>
      </c>
      <c r="B991" s="11">
        <v>1.8968413040000001</v>
      </c>
      <c r="C991" s="17">
        <v>2.4698420649999999</v>
      </c>
      <c r="D991">
        <v>2.4700000000000002</v>
      </c>
      <c r="F991" s="25">
        <f t="shared" si="45"/>
        <v>1.8659791783599782</v>
      </c>
      <c r="G991" s="29">
        <f t="shared" si="46"/>
        <v>3.5980069325604207</v>
      </c>
      <c r="H991" s="31">
        <f t="shared" si="47"/>
        <v>6.1001198260434641</v>
      </c>
    </row>
    <row r="992" spans="1:8" x14ac:dyDescent="0.3">
      <c r="A992" s="5">
        <v>1.905423139</v>
      </c>
      <c r="B992" s="11">
        <v>2.1973667749999999</v>
      </c>
      <c r="C992" s="17">
        <v>2.4848683390000001</v>
      </c>
      <c r="D992">
        <v>2.4700000000000002</v>
      </c>
      <c r="F992" s="25">
        <f t="shared" si="45"/>
        <v>3.6306373386366135</v>
      </c>
      <c r="G992" s="29">
        <f t="shared" si="46"/>
        <v>4.8284207438738997</v>
      </c>
      <c r="H992" s="31">
        <f t="shared" si="47"/>
        <v>6.1745706621646193</v>
      </c>
    </row>
    <row r="993" spans="1:8" x14ac:dyDescent="0.3">
      <c r="A993" s="5">
        <v>3.6434522540000001</v>
      </c>
      <c r="B993" s="11">
        <v>3.1088566809999998</v>
      </c>
      <c r="C993" s="17">
        <v>2.530442834</v>
      </c>
      <c r="D993">
        <v>2.4700000000000002</v>
      </c>
      <c r="F993" s="25">
        <f t="shared" si="45"/>
        <v>13.274744327177681</v>
      </c>
      <c r="G993" s="29">
        <f t="shared" si="46"/>
        <v>9.6649898629983344</v>
      </c>
      <c r="H993" s="31">
        <f t="shared" si="47"/>
        <v>6.403140936141952</v>
      </c>
    </row>
    <row r="994" spans="1:8" x14ac:dyDescent="0.3">
      <c r="A994" s="5">
        <v>2.8806421090000001</v>
      </c>
      <c r="B994" s="11">
        <v>2.6919988789999998</v>
      </c>
      <c r="C994" s="17">
        <v>2.5095999440000001</v>
      </c>
      <c r="D994">
        <v>2.4700000000000002</v>
      </c>
      <c r="F994" s="25">
        <f t="shared" si="45"/>
        <v>8.2980989601439674</v>
      </c>
      <c r="G994" s="29">
        <f t="shared" si="46"/>
        <v>7.2468579645372557</v>
      </c>
      <c r="H994" s="31">
        <f t="shared" si="47"/>
        <v>6.2980918789248035</v>
      </c>
    </row>
    <row r="995" spans="1:8" x14ac:dyDescent="0.3">
      <c r="A995" s="5">
        <v>0.75777459000000003</v>
      </c>
      <c r="B995" s="11">
        <v>1.470213255</v>
      </c>
      <c r="C995" s="17">
        <v>2.448510663</v>
      </c>
      <c r="D995">
        <v>2.4700000000000002</v>
      </c>
      <c r="F995" s="25">
        <f t="shared" si="45"/>
        <v>0.5742223292496681</v>
      </c>
      <c r="G995" s="29">
        <f t="shared" si="46"/>
        <v>2.1615270151776951</v>
      </c>
      <c r="H995" s="31">
        <f t="shared" si="47"/>
        <v>5.9952044668246991</v>
      </c>
    </row>
    <row r="996" spans="1:8" x14ac:dyDescent="0.3">
      <c r="A996" s="5">
        <v>1.031067843</v>
      </c>
      <c r="B996" s="11">
        <v>1.6803701959999999</v>
      </c>
      <c r="C996" s="17">
        <v>2.4590185099999999</v>
      </c>
      <c r="D996">
        <v>2.4700000000000002</v>
      </c>
      <c r="F996" s="25">
        <f t="shared" si="45"/>
        <v>1.0631008968686726</v>
      </c>
      <c r="G996" s="29">
        <f t="shared" si="46"/>
        <v>2.8236439956050781</v>
      </c>
      <c r="H996" s="31">
        <f t="shared" si="47"/>
        <v>6.04677203252262</v>
      </c>
    </row>
    <row r="997" spans="1:8" x14ac:dyDescent="0.3">
      <c r="A997" s="5">
        <v>3.9820551160000002</v>
      </c>
      <c r="B997" s="11">
        <v>3.3288702699999999</v>
      </c>
      <c r="C997" s="17">
        <v>2.541443514</v>
      </c>
      <c r="D997">
        <v>2.4700000000000002</v>
      </c>
      <c r="F997" s="25">
        <f t="shared" si="45"/>
        <v>15.856762946861775</v>
      </c>
      <c r="G997" s="29">
        <f t="shared" si="46"/>
        <v>11.081377274489872</v>
      </c>
      <c r="H997" s="31">
        <f t="shared" si="47"/>
        <v>6.458935134852668</v>
      </c>
    </row>
    <row r="998" spans="1:8" x14ac:dyDescent="0.3">
      <c r="A998" s="5">
        <v>4.8602252269999999</v>
      </c>
      <c r="B998" s="11">
        <v>4.4117396729999996</v>
      </c>
      <c r="C998" s="17">
        <v>2.5955869840000001</v>
      </c>
      <c r="D998">
        <v>2.4700000000000002</v>
      </c>
      <c r="F998" s="25">
        <f t="shared" si="45"/>
        <v>23.621789257167201</v>
      </c>
      <c r="G998" s="29">
        <f t="shared" si="46"/>
        <v>19.463446942322143</v>
      </c>
      <c r="H998" s="31">
        <f t="shared" si="47"/>
        <v>6.7370717915102167</v>
      </c>
    </row>
    <row r="999" spans="1:8" x14ac:dyDescent="0.3">
      <c r="A999" s="5">
        <v>2.4060792869999998</v>
      </c>
      <c r="B999" s="11">
        <v>2.4528972690000002</v>
      </c>
      <c r="C999" s="17">
        <v>2.4976448630000001</v>
      </c>
      <c r="D999">
        <v>2.4700000000000002</v>
      </c>
      <c r="F999" s="25">
        <f t="shared" si="45"/>
        <v>5.7892175353304278</v>
      </c>
      <c r="G999" s="29">
        <f t="shared" si="46"/>
        <v>6.0167050122676589</v>
      </c>
      <c r="H999" s="31">
        <f t="shared" si="47"/>
        <v>6.2382298616702894</v>
      </c>
    </row>
    <row r="1000" spans="1:8" x14ac:dyDescent="0.3">
      <c r="A1000" s="5">
        <v>3.609424116</v>
      </c>
      <c r="B1000" s="11">
        <v>3.0884498929999999</v>
      </c>
      <c r="C1000" s="17">
        <v>2.5294224949999999</v>
      </c>
      <c r="D1000">
        <v>2.4700000000000002</v>
      </c>
      <c r="F1000" s="25">
        <f t="shared" si="45"/>
        <v>13.027942449162381</v>
      </c>
      <c r="G1000" s="29">
        <f t="shared" si="46"/>
        <v>9.5385227415717111</v>
      </c>
      <c r="H1000" s="31">
        <f t="shared" si="47"/>
        <v>6.397978158212025</v>
      </c>
    </row>
    <row r="1001" spans="1:8" x14ac:dyDescent="0.3">
      <c r="A1001" s="5">
        <v>2.8290658280000001</v>
      </c>
      <c r="B1001" s="11">
        <v>2.665724714</v>
      </c>
      <c r="C1001" s="17">
        <v>2.508286236</v>
      </c>
      <c r="D1001">
        <v>2.4700000000000002</v>
      </c>
      <c r="F1001" s="25">
        <f t="shared" si="45"/>
        <v>8.0036134591573251</v>
      </c>
      <c r="G1001" s="29">
        <f t="shared" si="46"/>
        <v>7.106088250830382</v>
      </c>
      <c r="H1001" s="31">
        <f t="shared" si="47"/>
        <v>6.291499841707048</v>
      </c>
    </row>
  </sheetData>
  <sortState ref="N44:N52">
    <sortCondition ref="N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Data - Answers</vt:lpstr>
      <vt:lpstr>Series - Answers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Elinor Perl</dc:creator>
  <cp:lastModifiedBy>Elinor Perl</cp:lastModifiedBy>
  <dcterms:created xsi:type="dcterms:W3CDTF">2018-12-25T16:04:56Z</dcterms:created>
  <dcterms:modified xsi:type="dcterms:W3CDTF">2018-12-26T12:04:16Z</dcterms:modified>
</cp:coreProperties>
</file>